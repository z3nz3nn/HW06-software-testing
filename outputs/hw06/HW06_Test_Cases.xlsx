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f4f94fcd9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a47d8b9aa34e34"/>
    <x:sheet xmlns:r="http://schemas.openxmlformats.org/officeDocument/2006/relationships" name="Reset_Password" sheetId="2" r:id="Re5572fcfede4498a"/>
    <x:sheet xmlns:r="http://schemas.openxmlformats.org/officeDocument/2006/relationships" name="Apply_Coupon" sheetId="3" r:id="R0ebb007507614968"/>
    <x:sheet xmlns:r="http://schemas.openxmlformats.org/officeDocument/2006/relationships" name="Import_Products" sheetId="4" r:id="R1ecfd773e7ab4910"/>
    <x:sheet xmlns:r="http://schemas.openxmlformats.org/officeDocument/2006/relationships" name="AI_Audit_Index" sheetId="5" r:id="R840d4bb4c6e446b5"/>
    <x:sheet xmlns:r="http://schemas.openxmlformats.org/officeDocument/2006/relationships" name="Bug_Summary" sheetId="6" r:id="R1b7d66ab1098436f"/>
    <x:sheet xmlns:r="http://schemas.openxmlformats.org/officeDocument/2006/relationships" name="Manual_Review" sheetId="7" r:id="Rbb896621abf6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1"/>
      <x:color rgb="FFB5470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4E5"/>
      </x:patternFill>
    </x:fill>
  </x:fills>
  <x:borders count="10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double">
        <x:color rgb="FF0F766E"/>
      </x:bottom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12324A"/>
      </x:font>
      <x:fill>
        <x:patternFill patternType="solid">
          <x:bgColor rgb="FFE8F1F8"/>
        </x:patternFill>
      </x:fill>
    </x:dxf>
    <x:dxf>
      <x:font>
        <x:b/>
        <x:color rgb="FF067647"/>
      </x:font>
      <x:fill>
        <x:patternFill patternType="solid">
          <x:bgColor rgb="FFEAF8F0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12324A"/>
      </x:font>
      <x:fill>
        <x:patternFill patternType="solid">
          <x:bgColor rgb="FFE8F1F8"/>
        </x:patternFill>
      </x:fill>
    </x:dxf>
    <x:dxf>
      <x:font>
        <x:b/>
        <x:color rgb="FF067647"/>
      </x:font>
      <x:fill>
        <x:patternFill patternType="solid">
          <x:bgColor rgb="FFEAF8F0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12324A"/>
      </x:font>
      <x:fill>
        <x:patternFill patternType="solid">
          <x:bgColor rgb="FFE8F1F8"/>
        </x:patternFill>
      </x:fill>
    </x:dxf>
    <x:dxf>
      <x:font>
        <x:b/>
        <x:color rgb="FF067647"/>
      </x:font>
      <x:fill>
        <x:patternFill patternType="solid">
          <x:bgColor rgb="FFEAF8F0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067647"/>
      </x:font>
      <x:fill>
        <x:patternFill patternType="solid">
          <x:bgColor rgb="FFEAF8F0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54708"/>
      </x:font>
      <x:fill>
        <x:patternFill patternType="solid">
          <x:bgColor rgb="FFFFF4E5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67647"/>
      </x:font>
      <x:fill>
        <x:patternFill patternType="solid">
          <x:bgColor rgb="FFEAF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edfede949420b" /><Relationship Type="http://schemas.openxmlformats.org/officeDocument/2006/relationships/theme" Target="/xl/theme/theme1.xml" Id="R2472f3c9844844fd" /><Relationship Type="http://schemas.openxmlformats.org/officeDocument/2006/relationships/sharedStrings" Target="/xl/sharedStrings.xml" Id="Rf93bf987026b40dc" /><Relationship Type="http://schemas.openxmlformats.org/officeDocument/2006/relationships/worksheet" Target="/xl/worksheets/sheet1.xml" Id="Rdda47d8b9aa34e34" /><Relationship Type="http://schemas.openxmlformats.org/officeDocument/2006/relationships/worksheet" Target="/xl/worksheets/sheet2.xml" Id="Re5572fcfede4498a" /><Relationship Type="http://schemas.openxmlformats.org/officeDocument/2006/relationships/worksheet" Target="/xl/worksheets/sheet3.xml" Id="R0ebb007507614968" /><Relationship Type="http://schemas.openxmlformats.org/officeDocument/2006/relationships/worksheet" Target="/xl/worksheets/sheet4.xml" Id="R1ecfd773e7ab4910" /><Relationship Type="http://schemas.openxmlformats.org/officeDocument/2006/relationships/worksheet" Target="/xl/worksheets/sheet5.xml" Id="R840d4bb4c6e446b5" /><Relationship Type="http://schemas.openxmlformats.org/officeDocument/2006/relationships/worksheet" Target="/xl/worksheets/sheet6.xml" Id="R1b7d66ab1098436f" /><Relationship Type="http://schemas.openxmlformats.org/officeDocument/2006/relationships/worksheet" Target="/xl/worksheets/sheet7.xml" Id="Rbb896621abf64a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7cf1bb5d9344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Official pass/fail by API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Passed</c:v>
          </c:tx>
          <c:cat>
            <c:strRef>
              <c:f>'Summary'!$K$21:$K$23</c:f>
              <c:strCache>
                <c:ptCount val="0"/>
              </c:strCache>
            </c:strRef>
          </c:cat>
          <c:val>
            <c:numRef>
              <c:f>'Summary'!$L$21:$L$23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Failed</c:v>
          </c:tx>
          <c:cat>
            <c:strRef>
              <c:f>'Summary'!$K$21:$K$23</c:f>
              <c:strCache>
                <c:ptCount val="0"/>
              </c:strCache>
            </c:strRef>
          </c:cat>
          <c:val>
            <c:numRef>
              <c:f>'Summary'!$M$21:$M$23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7cf1bb5d9344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tPasswordTable" displayName="ResetPasswordTable" ref="A4:O52" headerRowCount="1" totalsRowCount="0" totalsRowShown="0">
  <x:tableColumns count="15">
    <x:tableColumn id="1" name="Case_ID"/>
    <x:tableColumn id="2" name="Title"/>
    <x:tableColumn id="3" name="Origin"/>
    <x:tableColumn id="4" name="Audit_Label"/>
    <x:tableColumn id="5" name="Audit_Reason"/>
    <x:tableColumn id="6" name="Requirement"/>
    <x:tableColumn id="7" name="Technique"/>
    <x:tableColumn id="8" name="Priority"/>
    <x:tableColumn id="9" name="Oracle"/>
    <x:tableColumn id="10" name="Input / mode"/>
    <x:tableColumn id="11" name="Manual_Review"/>
    <x:tableColumn id="12" name="Official_Result"/>
    <x:tableColumn id="13" name="Official_Failures"/>
    <x:tableColumn id="14" name="Human_Verified"/>
    <x:tableColumn id="15" name="Reviewer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lyCouponTable" displayName="ApplyCouponTable" ref="A4:O53" headerRowCount="1" totalsRowCount="0" totalsRowShown="0">
  <x:tableColumns count="15">
    <x:tableColumn id="1" name="Case_ID"/>
    <x:tableColumn id="2" name="Title"/>
    <x:tableColumn id="3" name="Origin"/>
    <x:tableColumn id="4" name="Audit_Label"/>
    <x:tableColumn id="5" name="Audit_Reason"/>
    <x:tableColumn id="6" name="Requirement"/>
    <x:tableColumn id="7" name="Technique"/>
    <x:tableColumn id="8" name="Priority"/>
    <x:tableColumn id="9" name="Oracle"/>
    <x:tableColumn id="10" name="Input / mode"/>
    <x:tableColumn id="11" name="Manual_Review"/>
    <x:tableColumn id="12" name="Official_Result"/>
    <x:tableColumn id="13" name="Official_Failures"/>
    <x:tableColumn id="14" name="Human_Verified"/>
    <x:tableColumn id="15" name="Reviewer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ProductsTable" displayName="ImportProductsTable" ref="A4:O65" headerRowCount="1" totalsRowCount="0" totalsRowShown="0">
  <x:tableColumns count="15">
    <x:tableColumn id="1" name="Case_ID"/>
    <x:tableColumn id="2" name="Title"/>
    <x:tableColumn id="3" name="Origin"/>
    <x:tableColumn id="4" name="Audit_Label"/>
    <x:tableColumn id="5" name="Audit_Reason"/>
    <x:tableColumn id="6" name="Requirement"/>
    <x:tableColumn id="7" name="Technique"/>
    <x:tableColumn id="8" name="Priority"/>
    <x:tableColumn id="9" name="Oracle"/>
    <x:tableColumn id="10" name="Input / mode"/>
    <x:tableColumn id="11" name="Manual_Review"/>
    <x:tableColumn id="12" name="Official_Result"/>
    <x:tableColumn id="13" name="Official_Failures"/>
    <x:tableColumn id="14" name="Human_Verified"/>
    <x:tableColumn id="15" name="Reviewer_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AuditTable" displayName="AIAuditTable" ref="A4:F15" headerRowCount="1" totalsRowCount="0" totalsRowShown="0">
  <x:tableColumns count="6">
    <x:tableColumn id="1" name="Interaction"/>
    <x:tableColumn id="2" name="API"/>
    <x:tableColumn id="3" name="Sent UTC"/>
    <x:tableColumn id="4" name="Response complete UTC"/>
    <x:tableColumn id="5" name="Purpose / correction"/>
    <x:tableColumn id="6" name="Verbatim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gSummaryTable" displayName="BugSummaryTable" ref="A4:G14" headerRowCount="1" totalsRowCount="0" totalsRowShown="0">
  <x:tableColumns count="7">
    <x:tableColumn id="1" name="Bug_ID"/>
    <x:tableColumn id="2" name="Severity"/>
    <x:tableColumn id="3" name="Area"/>
    <x:tableColumn id="4" name="Finding"/>
    <x:tableColumn id="5" name="Evidence"/>
    <x:tableColumn id="6" name="GitHub_Status"/>
    <x:tableColumn id="7" name="Issu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alReviewTable" displayName="ManualReviewTable" ref="A4:E14" headerRowCount="1" totalsRowCount="0" totalsRowShown="0">
  <x:tableColumns count="5">
    <x:tableColumn id="1" name="Gate_ID"/>
    <x:tableColumn id="2" name="Required action"/>
    <x:tableColumn id="3" name="Impact"/>
    <x:tableColumn id="4" name="Completed"/>
    <x:tableColumn id="5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ace2ece22e48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3219f9eb7c4b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4bbd78eb6946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e88fbe2729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6f9d980f15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2b0d18c75f44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eed5b7cfa24e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0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48" customHeight="1">
      <x:c r="A1" s="4" t="str">
        <x:v>HW06 API Testing Dashboard
Formula-backed summary • Nguyễn Đình Thái Hưng • Student ID 23127373</x:v>
      </x:c>
      <x:c r="B1" s="4"/>
      <x:c r="C1" s="4"/>
      <x:c r="D1" s="4"/>
      <x:c r="E1" s="4"/>
      <x:c r="F1" s="4"/>
      <x:c r="G1" s="4"/>
      <x:c r="H1" s="4"/>
      <x:c r="I1" s="4"/>
    </x:row>
    <x:row r="2" ht="48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4" ht="30" customHeight="1">
      <x:c r="A4" s="13" t="str">
        <x:v>API</x:v>
      </x:c>
      <x:c r="B4" s="14" t="str">
        <x:v>AI candidates</x:v>
      </x:c>
      <x:c r="C4" s="14" t="str">
        <x:v>Student-added</x:v>
      </x:c>
      <x:c r="D4" s="14" t="str">
        <x:v>VALID</x:v>
      </x:c>
      <x:c r="E4" s="14" t="str">
        <x:v>INVALID</x:v>
      </x:c>
      <x:c r="F4" s="14" t="str">
        <x:v>INCOMPLETE</x:v>
      </x:c>
      <x:c r="G4" s="14" t="str">
        <x:v>Executed</x:v>
      </x:c>
      <x:c r="H4" s="14" t="str">
        <x:v>Passed</x:v>
      </x:c>
      <x:c r="I4" s="15" t="str">
        <x:v>Failed</x:v>
      </x:c>
    </x:row>
    <x:row r="5">
      <x:c r="A5" s="36" t="str">
        <x:v>POST /api/reset-password</x:v>
      </x:c>
      <x:c r="B5" s="37" t="n">
        <x:f>COUNTIF('Reset_Password'!$C$5:$C$52,"Gemini Pro candidate")</x:f>
        <x:v>42</x:v>
      </x:c>
      <x:c r="C5" s="37" t="n">
        <x:f>COUNTIF('Reset_Password'!$D$5:$D$52,"STUDENT_ADDED")</x:f>
        <x:v>6</x:v>
      </x:c>
      <x:c r="D5" s="37" t="n">
        <x:f>COUNTIF('Reset_Password'!$D$5:$D$52,"VALID")</x:f>
        <x:v>32</x:v>
      </x:c>
      <x:c r="E5" s="37" t="n">
        <x:f>COUNTIF('Reset_Password'!$D$5:$D$52,"INVALID")</x:f>
        <x:v>0</x:v>
      </x:c>
      <x:c r="F5" s="37" t="n">
        <x:f>COUNTIF('Reset_Password'!$D$5:$D$52,"INCOMPLETE")</x:f>
        <x:v>10</x:v>
      </x:c>
      <x:c r="G5" s="37" t="n">
        <x:f>COUNTIF('Reset_Password'!$L$5:$L$52,"&lt;&gt;NOT_RUN")</x:f>
        <x:v>48</x:v>
      </x:c>
      <x:c r="H5" s="37" t="n">
        <x:f>COUNTIF('Reset_Password'!$L$5:$L$52,"PASS")</x:f>
        <x:v>35</x:v>
      </x:c>
      <x:c r="I5" s="38" t="n">
        <x:f>COUNTIF('Reset_Password'!$L$5:$L$52,"FAIL")</x:f>
        <x:v>13</x:v>
      </x:c>
    </x:row>
    <x:row r="6">
      <x:c r="A6" s="36" t="str">
        <x:v>POST /api/apply-coupon</x:v>
      </x:c>
      <x:c r="B6" s="37" t="n">
        <x:f>COUNTIF('Apply_Coupon'!$C$5:$C$53,"Gemini Pro candidate")</x:f>
        <x:v>44</x:v>
      </x:c>
      <x:c r="C6" s="37" t="n">
        <x:f>COUNTIF('Apply_Coupon'!$D$5:$D$53,"STUDENT_ADDED")</x:f>
        <x:v>5</x:v>
      </x:c>
      <x:c r="D6" s="37" t="n">
        <x:f>COUNTIF('Apply_Coupon'!$D$5:$D$53,"VALID")</x:f>
        <x:v>33</x:v>
      </x:c>
      <x:c r="E6" s="37" t="n">
        <x:f>COUNTIF('Apply_Coupon'!$D$5:$D$53,"INVALID")</x:f>
        <x:v>2</x:v>
      </x:c>
      <x:c r="F6" s="37" t="n">
        <x:f>COUNTIF('Apply_Coupon'!$D$5:$D$53,"INCOMPLETE")</x:f>
        <x:v>9</x:v>
      </x:c>
      <x:c r="G6" s="37" t="n">
        <x:f>COUNTIF('Apply_Coupon'!$L$5:$L$53,"&lt;&gt;NOT_RUN")</x:f>
        <x:v>49</x:v>
      </x:c>
      <x:c r="H6" s="37" t="n">
        <x:f>COUNTIF('Apply_Coupon'!$L$5:$L$53,"PASS")</x:f>
        <x:v>36</x:v>
      </x:c>
      <x:c r="I6" s="38" t="n">
        <x:f>COUNTIF('Apply_Coupon'!$L$5:$L$53,"FAIL")</x:f>
        <x:v>13</x:v>
      </x:c>
    </x:row>
    <x:row r="7">
      <x:c r="A7" s="36" t="str">
        <x:v>POST /api/admin/import-products</x:v>
      </x:c>
      <x:c r="B7" s="37" t="n">
        <x:f>COUNTIF('Import_Products'!$C$5:$C$65,"Gemini Pro candidate")</x:f>
        <x:v>56</x:v>
      </x:c>
      <x:c r="C7" s="37" t="n">
        <x:f>COUNTIF('Import_Products'!$D$5:$D$65,"STUDENT_ADDED")</x:f>
        <x:v>5</x:v>
      </x:c>
      <x:c r="D7" s="37" t="n">
        <x:f>COUNTIF('Import_Products'!$D$5:$D$65,"VALID")</x:f>
        <x:v>32</x:v>
      </x:c>
      <x:c r="E7" s="37" t="n">
        <x:f>COUNTIF('Import_Products'!$D$5:$D$65,"INVALID")</x:f>
        <x:v>7</x:v>
      </x:c>
      <x:c r="F7" s="37" t="n">
        <x:f>COUNTIF('Import_Products'!$D$5:$D$65,"INCOMPLETE")</x:f>
        <x:v>17</x:v>
      </x:c>
      <x:c r="G7" s="37" t="n">
        <x:f>COUNTIF('Import_Products'!$L$5:$L$65,"&lt;&gt;NOT_RUN")</x:f>
        <x:v>61</x:v>
      </x:c>
      <x:c r="H7" s="37" t="n">
        <x:f>COUNTIF('Import_Products'!$L$5:$L$65,"PASS")</x:f>
        <x:v>42</x:v>
      </x:c>
      <x:c r="I7" s="38" t="n">
        <x:f>COUNTIF('Import_Products'!$L$5:$L$65,"FAIL")</x:f>
        <x:v>19</x:v>
      </x:c>
    </x:row>
    <x:row r="8">
      <x:c r="A8" s="39" t="str">
        <x:v>TOTAL</x:v>
      </x:c>
      <x:c r="B8" s="40" t="n">
        <x:f>SUM(B5:B7)</x:f>
        <x:v>142</x:v>
      </x:c>
      <x:c r="C8" s="40" t="n">
        <x:f>SUM(C5:C7)</x:f>
        <x:v>16</x:v>
      </x:c>
      <x:c r="D8" s="40" t="n">
        <x:f>SUM(D5:D7)</x:f>
        <x:v>97</x:v>
      </x:c>
      <x:c r="E8" s="40" t="n">
        <x:f>SUM(E5:E7)</x:f>
        <x:v>9</x:v>
      </x:c>
      <x:c r="F8" s="40" t="n">
        <x:f>SUM(F5:F7)</x:f>
        <x:v>36</x:v>
      </x:c>
      <x:c r="G8" s="40" t="n">
        <x:f>SUM(G5:G7)</x:f>
        <x:v>158</x:v>
      </x:c>
      <x:c r="H8" s="40" t="n">
        <x:f>SUM(H5:H7)</x:f>
        <x:v>113</x:v>
      </x:c>
      <x:c r="I8" s="41" t="n">
        <x:f>SUM(I5:I7)</x:f>
        <x:v>45</x:v>
      </x:c>
    </x:row>
    <x:row r="9">
      <x:c r="A9" s="37"/>
      <x:c r="B9" s="37"/>
      <x:c r="C9" s="37"/>
      <x:c r="D9" s="37"/>
      <x:c r="E9" s="37"/>
      <x:c r="F9" s="37"/>
      <x:c r="G9" s="37"/>
      <x:c r="H9" s="37"/>
      <x:c r="I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</x:row>
    <x:row r="11" ht="30" customHeight="1">
      <x:c r="A11" s="13" t="str">
        <x:v>Submission gate</x:v>
      </x:c>
      <x:c r="B11" s="15" t="str">
        <x:v>Status</x:v>
      </x:c>
      <x:c r="C11" s="37"/>
      <x:c r="D11" s="13" t="str">
        <x:v>Evidence</x:v>
      </x:c>
      <x:c r="E11" s="14" t="str">
        <x:v>Value</x:v>
      </x:c>
      <x:c r="F11" s="15" t="str">
        <x:v>Interpretation</x:v>
      </x:c>
      <x:c r="G11" s="37"/>
      <x:c r="H11" s="37"/>
      <x:c r="I11" s="37"/>
    </x:row>
    <x:row r="12">
      <x:c r="A12" s="37" t="str">
        <x:v>Student ID supplied</x:v>
      </x:c>
      <x:c r="B12" s="42" t="str">
        <x:v>YES</x:v>
      </x:c>
      <x:c r="C12" s="37"/>
      <x:c r="D12" s="37" t="str">
        <x:v>Official total</x:v>
      </x:c>
      <x:c r="E12" s="37" t="n">
        <x:v>158</x:v>
      </x:c>
      <x:c r="F12" s="37" t="str">
        <x:v>158 expected</x:v>
      </x:c>
      <x:c r="G12" s="37"/>
      <x:c r="H12" s="37"/>
      <x:c r="I12" s="37"/>
    </x:row>
    <x:row r="13">
      <x:c r="A13" s="37" t="str">
        <x:v>Official Newman rerun</x:v>
      </x:c>
      <x:c r="B13" s="42" t="str">
        <x:v>YES</x:v>
      </x:c>
      <x:c r="C13" s="37"/>
      <x:c r="D13" s="37" t="str">
        <x:v>Official passed</x:v>
      </x:c>
      <x:c r="E13" s="37" t="n">
        <x:v>113</x:v>
      </x:c>
      <x:c r="F13" s="37" t="str">
        <x:v>Product behavior met oracle</x:v>
      </x:c>
      <x:c r="G13" s="37"/>
      <x:c r="H13" s="37"/>
      <x:c r="I13" s="37"/>
    </x:row>
    <x:row r="14">
      <x:c r="A14" s="37" t="str">
        <x:v>Rows personally reviewed</x:v>
      </x:c>
      <x:c r="B14" s="42" t="str">
        <x:v>NO</x:v>
      </x:c>
      <x:c r="C14" s="37"/>
      <x:c r="D14" s="37" t="str">
        <x:v>Official failed</x:v>
      </x:c>
      <x:c r="E14" s="37" t="n">
        <x:v>45</x:v>
      </x:c>
      <x:c r="F14" s="37" t="str">
        <x:v>Candidate defect evidence</x:v>
      </x:c>
      <x:c r="G14" s="37"/>
      <x:c r="H14" s="37"/>
      <x:c r="I14" s="37"/>
    </x:row>
    <x:row r="15">
      <x:c r="A15" s="37" t="str">
        <x:v>Self-drawn diagram</x:v>
      </x:c>
      <x:c r="B15" s="42" t="str">
        <x:v>NO</x:v>
      </x:c>
      <x:c r="C15" s="37"/>
      <x:c r="D15" s="37" t="str">
        <x:v>GitHub Issues</x:v>
      </x:c>
      <x:c r="E15" s="37" t="n">
        <x:v>10</x:v>
      </x:c>
      <x:c r="F15" s="37" t="str">
        <x:v>10 expected</x:v>
      </x:c>
      <x:c r="G15" s="37"/>
      <x:c r="H15" s="37"/>
      <x:c r="I15" s="37"/>
    </x:row>
    <x:row r="16">
      <x:c r="A16" s="37" t="str">
        <x:v>Ten GitHub Issues</x:v>
      </x:c>
      <x:c r="B16" s="42" t="str">
        <x:v>YES</x:v>
      </x:c>
      <x:c r="C16" s="37"/>
      <x:c r="D16" s="37" t="str">
        <x:v>AI sessions</x:v>
      </x:c>
      <x:c r="E16" s="37" t="n">
        <x:v>11</x:v>
      </x:c>
      <x:c r="F16" s="37" t="str">
        <x:v>3 reset + 4 coupon + 4 import</x:v>
      </x:c>
      <x:c r="G16" s="37"/>
      <x:c r="H16" s="37"/>
      <x:c r="I16" s="37"/>
    </x:row>
    <x:row r="17">
      <x:c r="A17" s="37" t="str">
        <x:v>Public GitHub</x:v>
      </x:c>
      <x:c r="B17" s="42" t="str">
        <x:v>NO</x:v>
      </x:c>
      <x:c r="C17" s="37"/>
      <x:c r="D17" s="37"/>
      <x:c r="E17" s="37"/>
      <x:c r="F17" s="37"/>
      <x:c r="G17" s="37"/>
      <x:c r="H17" s="37"/>
      <x:c r="I17" s="37"/>
    </x:row>
    <x:row r="18">
      <x:c r="A18" s="37" t="str">
        <x:v>Video + final ZIP</x:v>
      </x:c>
      <x:c r="B18" s="42" t="str">
        <x:v>NO</x:v>
      </x:c>
      <x:c r="C18" s="37"/>
      <x:c r="D18" s="37"/>
      <x:c r="E18" s="37"/>
      <x:c r="F18" s="37"/>
      <x:c r="G18" s="37"/>
      <x:c r="H18" s="37"/>
      <x:c r="I18" s="37"/>
    </x:row>
    <x:row r="20">
      <x:c r="K20" t="str">
        <x:v>API</x:v>
      </x:c>
      <x:c r="L20" t="str">
        <x:v>Passed</x:v>
      </x:c>
      <x:c r="M20" t="str">
        <x:v>Failed</x:v>
      </x:c>
    </x:row>
    <x:row r="21">
      <x:c r="K21" t="str">
        <x:v>Reset password</x:v>
      </x:c>
      <x:c r="L21" t="n">
        <x:f>H5</x:f>
        <x:v>35</x:v>
      </x:c>
      <x:c r="M21" t="n">
        <x:f>I5</x:f>
        <x:v>13</x:v>
      </x:c>
    </x:row>
    <x:row r="22">
      <x:c r="K22" t="str">
        <x:v>Apply coupon</x:v>
      </x:c>
      <x:c r="L22" t="n">
        <x:f>H6</x:f>
        <x:v>36</x:v>
      </x:c>
      <x:c r="M22" t="n">
        <x:f>I6</x:f>
        <x:v>13</x:v>
      </x:c>
    </x:row>
    <x:row r="23">
      <x:c r="K23" t="str">
        <x:v>Import products</x:v>
      </x:c>
      <x:c r="L23" t="n">
        <x:f>H7</x:f>
        <x:v>42</x:v>
      </x:c>
      <x:c r="M23" t="n">
        <x:f>I7</x:f>
        <x:v>19</x:v>
      </x:c>
    </x:row>
  </x:sheetData>
  <x:mergeCells>
    <x:mergeCell ref="A1:I2"/>
  </x:mergeCells>
  <x:conditionalFormatting sqref="B12:B18">
    <x:cfRule type="containsText" dxfId="18" priority="1" operator="containsText" text="YES"/>
  </x:conditionalFormatting>
  <x:pageMargins left="0.7" right="0.7" top="0.75" bottom="0.75" header="0.3" footer="0.3"/>
  <x:drawing xmlns:r="http://schemas.openxmlformats.org/officeDocument/2006/relationships" r:id="R0eace2ece22e48a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5" hidden="0" customWidth="1"/>
    <x:col min="5" max="5" width="46" hidden="0" customWidth="1"/>
    <x:col min="6" max="6" width="20" hidden="0" customWidth="1"/>
    <x:col min="7" max="7" width="20" hidden="0" customWidth="1"/>
    <x:col min="8" max="8" width="12" hidden="0" customWidth="1"/>
    <x:col min="9" max="9" width="16" hidden="0" customWidth="1"/>
    <x:col min="10" max="10" width="45" hidden="0" customWidth="1"/>
    <x:col min="11" max="11" width="35" hidden="0" customWidth="1"/>
    <x:col min="12" max="12" width="12" hidden="0" customWidth="1"/>
    <x:col min="13" max="13" width="44" hidden="0" customWidth="1"/>
    <x:col min="14" max="14" width="16" hidden="0" customWidth="1"/>
    <x:col min="15" max="15" width="32" hidden="0" customWidth="1"/>
  </x:cols>
  <x:sheetData>
    <x:row r="1" ht="48" customHeight="1">
      <x:c r="A1" s="4" t="str">
        <x:v>POST /api/reset-password
48 canonical cases • official Newman result • X-Student-Id 23127373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4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4" ht="30" customHeight="1">
      <x:c r="A4" s="13" t="str">
        <x:v>Case_ID</x:v>
      </x:c>
      <x:c r="B4" s="14" t="str">
        <x:v>Title</x:v>
      </x:c>
      <x:c r="C4" s="14" t="str">
        <x:v>Origin</x:v>
      </x:c>
      <x:c r="D4" s="14" t="str">
        <x:v>Audit_Label</x:v>
      </x:c>
      <x:c r="E4" s="14" t="str">
        <x:v>Audit_Reason</x:v>
      </x:c>
      <x:c r="F4" s="14" t="str">
        <x:v>Requirement</x:v>
      </x:c>
      <x:c r="G4" s="14" t="str">
        <x:v>Technique</x:v>
      </x:c>
      <x:c r="H4" s="14" t="str">
        <x:v>Priority</x:v>
      </x:c>
      <x:c r="I4" s="14" t="str">
        <x:v>Oracle</x:v>
      </x:c>
      <x:c r="J4" s="14" t="str">
        <x:v>Input / mode</x:v>
      </x:c>
      <x:c r="K4" s="14" t="str">
        <x:v>Manual_Review</x:v>
      </x:c>
      <x:c r="L4" s="14" t="str">
        <x:v>Official_Result</x:v>
      </x:c>
      <x:c r="M4" s="14" t="str">
        <x:v>Official_Failures</x:v>
      </x:c>
      <x:c r="N4" s="14" t="str">
        <x:v>Human_Verified</x:v>
      </x:c>
      <x:c r="O4" s="15" t="str">
        <x:v>Reviewer_Notes</x:v>
      </x:c>
    </x:row>
    <x:row r="5" ht="42" customHeight="1">
      <x:c r="A5" s="17" t="str">
        <x:v>R-AI-01</x:v>
      </x:c>
      <x:c r="B5" s="17" t="str">
        <x:v>Valid reset with an active six-digit OTP</x:v>
      </x:c>
      <x:c r="C5" s="17" t="str">
        <x:v>Gemini Pro candidate</x:v>
      </x:c>
      <x:c r="D5" s="17" t="str">
        <x:v>VALID</x:v>
      </x:c>
      <x:c r="E5" s="17" t="str">
        <x:v>Traceable to the supplied requirement and has a usable oracle.</x:v>
      </x:c>
      <x:c r="F5" s="17" t="str">
        <x:v>FR-01,FR-03,SEC-07</x:v>
      </x:c>
      <x:c r="G5" s="17" t="str">
        <x:v>EP</x:v>
      </x:c>
      <x:c r="H5" s="17" t="str">
        <x:v>Medium</x:v>
      </x:c>
      <x:c r="I5" s="17" t="str">
        <x:v>ACCEPT</x:v>
      </x:c>
      <x:c r="J5" s="17" t="str">
        <x:v>{"tokenMode":"active","passwordMode":"valid","emailMode":"valid","method":"POST","contentType":"application/json"}</x:v>
      </x:c>
      <x:c r="K5" s="17" t="str"/>
      <x:c r="L5" s="17" t="str">
        <x:v>PASS</x:v>
      </x:c>
      <x:c r="M5" s="17" t="str"/>
      <x:c r="N5" s="17" t="str">
        <x:v>NO</x:v>
      </x:c>
      <x:c r="O5" s="17" t="str"/>
    </x:row>
    <x:row r="6" ht="42" customHeight="1">
      <x:c r="A6" s="17" t="str">
        <x:v>R-AI-02</x:v>
      </x:c>
      <x:c r="B6" s="17" t="str">
        <x:v>Active OTP with a leading zero</x:v>
      </x:c>
      <x:c r="C6" s="17" t="str">
        <x:v>Gemini Pro candidate</x:v>
      </x:c>
      <x:c r="D6" s="17" t="str">
        <x:v>VALID</x:v>
      </x:c>
      <x:c r="E6" s="17" t="str">
        <x:v>Traceable to the supplied requirement and has a usable oracle.</x:v>
      </x:c>
      <x:c r="F6" s="17" t="str">
        <x:v>FR-03,SEC-07</x:v>
      </x:c>
      <x:c r="G6" s="17" t="str">
        <x:v>BVA</x:v>
      </x:c>
      <x:c r="H6" s="17" t="str">
        <x:v>Medium</x:v>
      </x:c>
      <x:c r="I6" s="17" t="str">
        <x:v>ACCEPT</x:v>
      </x:c>
      <x:c r="J6" s="17" t="str">
        <x:v>{"tokenMode":"leadingZero","passwordMode":"valid","emailMode":"valid","method":"POST","contentType":"application/json"}</x:v>
      </x:c>
      <x:c r="K6" s="17" t="str"/>
      <x:c r="L6" s="17" t="str">
        <x:v>PASS</x:v>
      </x:c>
      <x:c r="M6" s="17" t="str"/>
      <x:c r="N6" s="17" t="str">
        <x:v>NO</x:v>
      </x:c>
      <x:c r="O6" s="17" t="str"/>
    </x:row>
    <x:row r="7" ht="42" customHeight="1">
      <x:c r="A7" s="17" t="str">
        <x:v>R-AI-03</x:v>
      </x:c>
      <x:c r="B7" s="17" t="str">
        <x:v>Password contains every allowed special character</x:v>
      </x:c>
      <x:c r="C7" s="17" t="str">
        <x:v>Gemini Pro candidate</x:v>
      </x:c>
      <x:c r="D7" s="17" t="str">
        <x:v>VALID</x:v>
      </x:c>
      <x:c r="E7" s="17" t="str">
        <x:v>Traceable to the supplied requirement and has a usable oracle.</x:v>
      </x:c>
      <x:c r="F7" s="17" t="str">
        <x:v>FR-01</x:v>
      </x:c>
      <x:c r="G7" s="17" t="str">
        <x:v>EP</x:v>
      </x:c>
      <x:c r="H7" s="17" t="str">
        <x:v>Medium</x:v>
      </x:c>
      <x:c r="I7" s="17" t="str">
        <x:v>ACCEPT</x:v>
      </x:c>
      <x:c r="J7" s="17" t="str">
        <x:v>{"tokenMode":"active","passwordMode":"allSpecials","emailMode":"valid","method":"POST","contentType":"application/json"}</x:v>
      </x:c>
      <x:c r="K7" s="17" t="str"/>
      <x:c r="L7" s="17" t="str">
        <x:v>PASS</x:v>
      </x:c>
      <x:c r="M7" s="17" t="str"/>
      <x:c r="N7" s="17" t="str">
        <x:v>NO</x:v>
      </x:c>
      <x:c r="O7" s="17" t="str"/>
    </x:row>
    <x:row r="8" ht="42" customHeight="1">
      <x:c r="A8" s="17" t="str">
        <x:v>R-AI-04</x:v>
      </x:c>
      <x:c r="B8" s="17" t="str">
        <x:v>Newest reissued OTP is accepted</x:v>
      </x:c>
      <x:c r="C8" s="17" t="str">
        <x:v>Gemini Pro candidate</x:v>
      </x:c>
      <x:c r="D8" s="17" t="str">
        <x:v>VALID</x:v>
      </x:c>
      <x:c r="E8" s="17" t="str">
        <x:v>Traceable to the supplied requirement and has a usable oracle.</x:v>
      </x:c>
      <x:c r="F8" s="17" t="str">
        <x:v>FR-03,SEC-07</x:v>
      </x:c>
      <x:c r="G8" s="17" t="str">
        <x:v>State transition</x:v>
      </x:c>
      <x:c r="H8" s="17" t="str">
        <x:v>Medium</x:v>
      </x:c>
      <x:c r="I8" s="17" t="str">
        <x:v>ACCEPT</x:v>
      </x:c>
      <x:c r="J8" s="17" t="str">
        <x:v>{"tokenMode":"reissued","passwordMode":"valid","emailMode":"valid","method":"POST","contentType":"application/json"}</x:v>
      </x:c>
      <x:c r="K8" s="17" t="str"/>
      <x:c r="L8" s="17" t="str">
        <x:v>PASS</x:v>
      </x:c>
      <x:c r="M8" s="17" t="str"/>
      <x:c r="N8" s="17" t="str">
        <x:v>NO</x:v>
      </x:c>
      <x:c r="O8" s="17" t="str"/>
    </x:row>
    <x:row r="9" ht="42" customHeight="1">
      <x:c r="A9" s="17" t="str">
        <x:v>R-AI-05</x:v>
      </x:c>
      <x:c r="B9" s="17" t="str">
        <x:v>Password length seven</x:v>
      </x:c>
      <x:c r="C9" s="17" t="str">
        <x:v>Gemini Pro candidate</x:v>
      </x:c>
      <x:c r="D9" s="17" t="str">
        <x:v>VALID</x:v>
      </x:c>
      <x:c r="E9" s="17" t="str">
        <x:v>Traceable to the supplied requirement and has a usable oracle.</x:v>
      </x:c>
      <x:c r="F9" s="17" t="str">
        <x:v>FR-01</x:v>
      </x:c>
      <x:c r="G9" s="17" t="str">
        <x:v>BVA</x:v>
      </x:c>
      <x:c r="H9" s="17" t="str">
        <x:v>High</x:v>
      </x:c>
      <x:c r="I9" s="17" t="str">
        <x:v>REJECT</x:v>
      </x:c>
      <x:c r="J9" s="17" t="str">
        <x:v>{"tokenMode":"active","passwordMode":"length7","emailMode":"valid","method":"POST","contentType":"application/json"}</x:v>
      </x:c>
      <x:c r="K9" s="17" t="str"/>
      <x:c r="L9" s="17" t="str">
        <x:v>FAIL</x:v>
      </x:c>
      <x:c r="M9" s="17" t="str">
        <x:v>[R-AI-05] no success response for invalid reset | [R-AI-05] password state matches the normative oracle</x:v>
      </x:c>
      <x:c r="N9" s="17" t="str">
        <x:v>NO</x:v>
      </x:c>
      <x:c r="O9" s="17" t="str"/>
    </x:row>
    <x:row r="10" ht="42" customHeight="1">
      <x:c r="A10" s="17" t="str">
        <x:v>R-AI-06</x:v>
      </x:c>
      <x:c r="B10" s="17" t="str">
        <x:v>Password missing uppercase</x:v>
      </x:c>
      <x:c r="C10" s="17" t="str">
        <x:v>Gemini Pro candidate</x:v>
      </x:c>
      <x:c r="D10" s="17" t="str">
        <x:v>VALID</x:v>
      </x:c>
      <x:c r="E10" s="17" t="str">
        <x:v>Traceable to the supplied requirement and has a usable oracle.</x:v>
      </x:c>
      <x:c r="F10" s="17" t="str">
        <x:v>FR-01</x:v>
      </x:c>
      <x:c r="G10" s="17" t="str">
        <x:v>EP</x:v>
      </x:c>
      <x:c r="H10" s="17" t="str">
        <x:v>High</x:v>
      </x:c>
      <x:c r="I10" s="17" t="str">
        <x:v>REJECT</x:v>
      </x:c>
      <x:c r="J10" s="17" t="str">
        <x:v>{"tokenMode":"active","passwordMode":"noUpper","emailMode":"valid","method":"POST","contentType":"application/json"}</x:v>
      </x:c>
      <x:c r="K10" s="17" t="str"/>
      <x:c r="L10" s="17" t="str">
        <x:v>FAIL</x:v>
      </x:c>
      <x:c r="M10" s="17" t="str">
        <x:v>[R-AI-06] no success response for invalid reset | [R-AI-06] password state matches the normative oracle</x:v>
      </x:c>
      <x:c r="N10" s="17" t="str">
        <x:v>NO</x:v>
      </x:c>
      <x:c r="O10" s="17" t="str"/>
    </x:row>
    <x:row r="11" ht="42" customHeight="1">
      <x:c r="A11" s="17" t="str">
        <x:v>R-AI-07</x:v>
      </x:c>
      <x:c r="B11" s="17" t="str">
        <x:v>Password missing lowercase</x:v>
      </x:c>
      <x:c r="C11" s="17" t="str">
        <x:v>Gemini Pro candidate</x:v>
      </x:c>
      <x:c r="D11" s="17" t="str">
        <x:v>VALID</x:v>
      </x:c>
      <x:c r="E11" s="17" t="str">
        <x:v>Traceable to the supplied requirement and has a usable oracle.</x:v>
      </x:c>
      <x:c r="F11" s="17" t="str">
        <x:v>FR-01</x:v>
      </x:c>
      <x:c r="G11" s="17" t="str">
        <x:v>EP</x:v>
      </x:c>
      <x:c r="H11" s="17" t="str">
        <x:v>High</x:v>
      </x:c>
      <x:c r="I11" s="17" t="str">
        <x:v>REJECT</x:v>
      </x:c>
      <x:c r="J11" s="17" t="str">
        <x:v>{"tokenMode":"active","passwordMode":"noLower","emailMode":"valid","method":"POST","contentType":"application/json"}</x:v>
      </x:c>
      <x:c r="K11" s="17" t="str"/>
      <x:c r="L11" s="17" t="str">
        <x:v>FAIL</x:v>
      </x:c>
      <x:c r="M11" s="17" t="str">
        <x:v>[R-AI-07] no success response for invalid reset | [R-AI-07] password state matches the normative oracle</x:v>
      </x:c>
      <x:c r="N11" s="17" t="str">
        <x:v>NO</x:v>
      </x:c>
      <x:c r="O11" s="17" t="str"/>
    </x:row>
    <x:row r="12" ht="42" customHeight="1">
      <x:c r="A12" s="17" t="str">
        <x:v>R-AI-08</x:v>
      </x:c>
      <x:c r="B12" s="17" t="str">
        <x:v>Password missing digit</x:v>
      </x:c>
      <x:c r="C12" s="17" t="str">
        <x:v>Gemini Pro candidate</x:v>
      </x:c>
      <x:c r="D12" s="17" t="str">
        <x:v>VALID</x:v>
      </x:c>
      <x:c r="E12" s="17" t="str">
        <x:v>Traceable to the supplied requirement and has a usable oracle.</x:v>
      </x:c>
      <x:c r="F12" s="17" t="str">
        <x:v>FR-01</x:v>
      </x:c>
      <x:c r="G12" s="17" t="str">
        <x:v>EP</x:v>
      </x:c>
      <x:c r="H12" s="17" t="str">
        <x:v>High</x:v>
      </x:c>
      <x:c r="I12" s="17" t="str">
        <x:v>REJECT</x:v>
      </x:c>
      <x:c r="J12" s="17" t="str">
        <x:v>{"tokenMode":"active","passwordMode":"noDigit","emailMode":"valid","method":"POST","contentType":"application/json"}</x:v>
      </x:c>
      <x:c r="K12" s="17" t="str"/>
      <x:c r="L12" s="17" t="str">
        <x:v>FAIL</x:v>
      </x:c>
      <x:c r="M12" s="17" t="str">
        <x:v>[R-AI-08] no success response for invalid reset | [R-AI-08] password state matches the normative oracle</x:v>
      </x:c>
      <x:c r="N12" s="17" t="str">
        <x:v>NO</x:v>
      </x:c>
      <x:c r="O12" s="17" t="str"/>
    </x:row>
    <x:row r="13" ht="42" customHeight="1">
      <x:c r="A13" s="17" t="str">
        <x:v>R-AI-09</x:v>
      </x:c>
      <x:c r="B13" s="17" t="str">
        <x:v>Password missing allowed special character</x:v>
      </x:c>
      <x:c r="C13" s="17" t="str">
        <x:v>Gemini Pro candidate</x:v>
      </x:c>
      <x:c r="D13" s="17" t="str">
        <x:v>VALID</x:v>
      </x:c>
      <x:c r="E13" s="17" t="str">
        <x:v>Traceable to the supplied requirement and has a usable oracle.</x:v>
      </x:c>
      <x:c r="F13" s="17" t="str">
        <x:v>FR-01</x:v>
      </x:c>
      <x:c r="G13" s="17" t="str">
        <x:v>EP</x:v>
      </x:c>
      <x:c r="H13" s="17" t="str">
        <x:v>High</x:v>
      </x:c>
      <x:c r="I13" s="17" t="str">
        <x:v>REJECT</x:v>
      </x:c>
      <x:c r="J13" s="17" t="str">
        <x:v>{"tokenMode":"active","passwordMode":"noSpecial","emailMode":"valid","method":"POST","contentType":"application/json"}</x:v>
      </x:c>
      <x:c r="K13" s="17" t="str"/>
      <x:c r="L13" s="17" t="str">
        <x:v>FAIL</x:v>
      </x:c>
      <x:c r="M13" s="17" t="str">
        <x:v>[R-AI-09] no success response for invalid reset | [R-AI-09] password state matches the normative oracle</x:v>
      </x:c>
      <x:c r="N13" s="17" t="str">
        <x:v>NO</x:v>
      </x:c>
      <x:c r="O13" s="17" t="str"/>
    </x:row>
    <x:row r="14" ht="42" customHeight="1">
      <x:c r="A14" s="17" t="str">
        <x:v>R-AI-10</x:v>
      </x:c>
      <x:c r="B14" s="17" t="str">
        <x:v>Password uses only an unlisted special character</x:v>
      </x:c>
      <x:c r="C14" s="17" t="str">
        <x:v>Gemini Pro candidate</x:v>
      </x:c>
      <x:c r="D14" s="17" t="str">
        <x:v>VALID</x:v>
      </x:c>
      <x:c r="E14" s="17" t="str">
        <x:v>Traceable to the supplied requirement and has a usable oracle.</x:v>
      </x:c>
      <x:c r="F14" s="17" t="str">
        <x:v>FR-01</x:v>
      </x:c>
      <x:c r="G14" s="17" t="str">
        <x:v>EP</x:v>
      </x:c>
      <x:c r="H14" s="17" t="str">
        <x:v>Medium</x:v>
      </x:c>
      <x:c r="I14" s="17" t="str">
        <x:v>REJECT</x:v>
      </x:c>
      <x:c r="J14" s="17" t="str">
        <x:v>{"tokenMode":"active","passwordMode":"unlistedSpecial","emailMode":"valid","method":"POST","contentType":"application/json"}</x:v>
      </x:c>
      <x:c r="K14" s="17" t="str"/>
      <x:c r="L14" s="17" t="str">
        <x:v>FAIL</x:v>
      </x:c>
      <x:c r="M14" s="17" t="str">
        <x:v>[R-AI-10] no success response for invalid reset | [R-AI-10] password state matches the normative oracle</x:v>
      </x:c>
      <x:c r="N14" s="17" t="str">
        <x:v>NO</x:v>
      </x:c>
      <x:c r="O14" s="17" t="str"/>
    </x:row>
    <x:row r="15" ht="42" customHeight="1">
      <x:c r="A15" s="17" t="str">
        <x:v>R-AI-11</x:v>
      </x:c>
      <x:c r="B15" s="17" t="str">
        <x:v>Password has leading and trailing spaces</x:v>
      </x:c>
      <x:c r="C15" s="17" t="str">
        <x:v>Gemini Pro candidate</x:v>
      </x:c>
      <x:c r="D15" s="17" t="str">
        <x:v>INCOMPLETE</x:v>
      </x:c>
      <x:c r="E15" s="17" t="str">
        <x:v>Whitespace normalization is not specified; record actual behavior.</x:v>
      </x:c>
      <x:c r="F15" s="17" t="str">
        <x:v>FR-01</x:v>
      </x:c>
      <x:c r="G15" s="17" t="str">
        <x:v>Robustness</x:v>
      </x:c>
      <x:c r="H15" s="17" t="str">
        <x:v>Medium</x:v>
      </x:c>
      <x:c r="I15" s="17" t="str">
        <x:v>OBSERVE</x:v>
      </x:c>
      <x:c r="J15" s="17" t="str">
        <x:v>{"tokenMode":"active","passwordMode":"paddedSpaces","emailMode":"valid","method":"POST","contentType":"application/json"}</x:v>
      </x:c>
      <x:c r="K15" s="17" t="str"/>
      <x:c r="L15" s="17" t="str">
        <x:v>PASS</x:v>
      </x:c>
      <x:c r="M15" s="17" t="str"/>
      <x:c r="N15" s="17" t="str">
        <x:v>NO</x:v>
      </x:c>
      <x:c r="O15" s="17" t="str"/>
    </x:row>
    <x:row r="16" ht="42" customHeight="1">
      <x:c r="A16" s="17" t="str">
        <x:v>R-AI-12</x:v>
      </x:c>
      <x:c r="B16" s="17" t="str">
        <x:v>Password contains internal whitespace</x:v>
      </x:c>
      <x:c r="C16" s="17" t="str">
        <x:v>Gemini Pro candidate</x:v>
      </x:c>
      <x:c r="D16" s="17" t="str">
        <x:v>INCOMPLETE</x:v>
      </x:c>
      <x:c r="E16" s="17" t="str">
        <x:v>Internal whitespace policy is unspecified.</x:v>
      </x:c>
      <x:c r="F16" s="17" t="str">
        <x:v>FR-01</x:v>
      </x:c>
      <x:c r="G16" s="17" t="str">
        <x:v>Robustness</x:v>
      </x:c>
      <x:c r="H16" s="17" t="str">
        <x:v>Medium</x:v>
      </x:c>
      <x:c r="I16" s="17" t="str">
        <x:v>OBSERVE</x:v>
      </x:c>
      <x:c r="J16" s="17" t="str">
        <x:v>{"tokenMode":"active","passwordMode":"internalSpace","emailMode":"valid","method":"POST","contentType":"application/json"}</x:v>
      </x:c>
      <x:c r="K16" s="17" t="str"/>
      <x:c r="L16" s="17" t="str">
        <x:v>PASS</x:v>
      </x:c>
      <x:c r="M16" s="17" t="str"/>
      <x:c r="N16" s="17" t="str">
        <x:v>NO</x:v>
      </x:c>
      <x:c r="O16" s="17" t="str"/>
    </x:row>
    <x:row r="17" ht="42" customHeight="1">
      <x:c r="A17" s="17" t="str">
        <x:v>R-AI-13</x:v>
      </x:c>
      <x:c r="B17" s="17" t="str">
        <x:v>Password contains Unicode and emoji</x:v>
      </x:c>
      <x:c r="C17" s="17" t="str">
        <x:v>Gemini Pro candidate</x:v>
      </x:c>
      <x:c r="D17" s="17" t="str">
        <x:v>INCOMPLETE</x:v>
      </x:c>
      <x:c r="E17" s="17" t="str">
        <x:v>Unicode policy is unspecified.</x:v>
      </x:c>
      <x:c r="F17" s="17" t="str">
        <x:v>FR-01</x:v>
      </x:c>
      <x:c r="G17" s="17" t="str">
        <x:v>Robustness</x:v>
      </x:c>
      <x:c r="H17" s="17" t="str">
        <x:v>Medium</x:v>
      </x:c>
      <x:c r="I17" s="17" t="str">
        <x:v>OBSERVE</x:v>
      </x:c>
      <x:c r="J17" s="17" t="str">
        <x:v>{"tokenMode":"active","passwordMode":"unicode","emailMode":"valid","method":"POST","contentType":"application/json"}</x:v>
      </x:c>
      <x:c r="K17" s="17" t="str"/>
      <x:c r="L17" s="17" t="str">
        <x:v>PASS</x:v>
      </x:c>
      <x:c r="M17" s="17" t="str"/>
      <x:c r="N17" s="17" t="str">
        <x:v>NO</x:v>
      </x:c>
      <x:c r="O17" s="17" t="str"/>
    </x:row>
    <x:row r="18" ht="42" customHeight="1">
      <x:c r="A18" s="17" t="str">
        <x:v>R-AI-14</x:v>
      </x:c>
      <x:c r="B18" s="17" t="str">
        <x:v>Password larger than 1000 characters</x:v>
      </x:c>
      <x:c r="C18" s="17" t="str">
        <x:v>Gemini Pro candidate</x:v>
      </x:c>
      <x:c r="D18" s="17" t="str">
        <x:v>INCOMPLETE</x:v>
      </x:c>
      <x:c r="E18" s="17" t="str">
        <x:v>No maximum is specified; only stability is asserted.</x:v>
      </x:c>
      <x:c r="F18" s="17" t="str">
        <x:v>FR-01</x:v>
      </x:c>
      <x:c r="G18" s="17" t="str">
        <x:v>Robustness</x:v>
      </x:c>
      <x:c r="H18" s="17" t="str">
        <x:v>Medium</x:v>
      </x:c>
      <x:c r="I18" s="17" t="str">
        <x:v>OBSERVE</x:v>
      </x:c>
      <x:c r="J18" s="17" t="str">
        <x:v>{"tokenMode":"active","passwordMode":"large","emailMode":"valid","method":"POST","contentType":"application/json"}</x:v>
      </x:c>
      <x:c r="K18" s="17" t="str"/>
      <x:c r="L18" s="17" t="str">
        <x:v>PASS</x:v>
      </x:c>
      <x:c r="M18" s="17" t="str"/>
      <x:c r="N18" s="17" t="str">
        <x:v>NO</x:v>
      </x:c>
      <x:c r="O18" s="17" t="str"/>
    </x:row>
    <x:row r="19" ht="42" customHeight="1">
      <x:c r="A19" s="17" t="str">
        <x:v>R-AI-15</x:v>
      </x:c>
      <x:c r="B19" s="17" t="str">
        <x:v>Expired OTP is rejected</x:v>
      </x:c>
      <x:c r="C19" s="17" t="str">
        <x:v>Gemini Pro candidate</x:v>
      </x:c>
      <x:c r="D19" s="17" t="str">
        <x:v>INCOMPLETE</x:v>
      </x:c>
      <x:c r="E19" s="17" t="str">
        <x:v>The SUT schema exposes no OTP expiry fixture; requires controlled time/database support.</x:v>
      </x:c>
      <x:c r="F19" s="17" t="str">
        <x:v>SEC-07</x:v>
      </x:c>
      <x:c r="G19" s="17" t="str">
        <x:v>State transition</x:v>
      </x:c>
      <x:c r="H19" s="17" t="str">
        <x:v>Medium</x:v>
      </x:c>
      <x:c r="I19" s="17" t="str">
        <x:v>OBSERVE</x:v>
      </x:c>
      <x:c r="J19" s="17" t="str">
        <x:v>{"tokenMode":"active","passwordMode":"valid","emailMode":"valid","method":"POST","contentType":"application/json"}</x:v>
      </x:c>
      <x:c r="K19" s="17" t="str">
        <x:v>Expiry cannot be created through the published API.</x:v>
      </x:c>
      <x:c r="L19" s="17" t="str">
        <x:v>PASS</x:v>
      </x:c>
      <x:c r="M19" s="17" t="str"/>
      <x:c r="N19" s="17" t="str">
        <x:v>NO</x:v>
      </x:c>
      <x:c r="O19" s="17" t="str"/>
    </x:row>
    <x:row r="20" ht="42" customHeight="1">
      <x:c r="A20" s="17" t="str">
        <x:v>R-AI-16</x:v>
      </x:c>
      <x:c r="B20" s="17" t="str">
        <x:v>Used OTP replay is rejected</x:v>
      </x:c>
      <x:c r="C20" s="17" t="str">
        <x:v>Gemini Pro candidate</x:v>
      </x:c>
      <x:c r="D20" s="17" t="str">
        <x:v>VALID</x:v>
      </x:c>
      <x:c r="E20" s="17" t="str">
        <x:v>Traceable to the supplied requirement and has a usable oracle.</x:v>
      </x:c>
      <x:c r="F20" s="17" t="str">
        <x:v>SEC-07</x:v>
      </x:c>
      <x:c r="G20" s="17" t="str">
        <x:v>State transition</x:v>
      </x:c>
      <x:c r="H20" s="17" t="str">
        <x:v>High</x:v>
      </x:c>
      <x:c r="I20" s="17" t="str">
        <x:v>REJECT</x:v>
      </x:c>
      <x:c r="J20" s="17" t="str">
        <x:v>{"tokenMode":"replay","passwordMode":"valid","emailMode":"valid","method":"POST","contentType":"application/json"}</x:v>
      </x:c>
      <x:c r="K20" s="17" t="str"/>
      <x:c r="L20" s="17" t="str">
        <x:v>PASS</x:v>
      </x:c>
      <x:c r="M20" s="17" t="str"/>
      <x:c r="N20" s="17" t="str">
        <x:v>NO</x:v>
      </x:c>
      <x:c r="O20" s="17" t="str"/>
    </x:row>
    <x:row r="21" ht="42" customHeight="1">
      <x:c r="A21" s="17" t="str">
        <x:v>R-AI-17</x:v>
      </x:c>
      <x:c r="B21" s="17" t="str">
        <x:v>Older OTP is rejected after reissue</x:v>
      </x:c>
      <x:c r="C21" s="17" t="str">
        <x:v>Gemini Pro candidate</x:v>
      </x:c>
      <x:c r="D21" s="17" t="str">
        <x:v>VALID</x:v>
      </x:c>
      <x:c r="E21" s="17" t="str">
        <x:v>Traceable to the supplied requirement and has a usable oracle.</x:v>
      </x:c>
      <x:c r="F21" s="17" t="str">
        <x:v>SEC-07</x:v>
      </x:c>
      <x:c r="G21" s="17" t="str">
        <x:v>State transition</x:v>
      </x:c>
      <x:c r="H21" s="17" t="str">
        <x:v>High</x:v>
      </x:c>
      <x:c r="I21" s="17" t="str">
        <x:v>REJECT</x:v>
      </x:c>
      <x:c r="J21" s="17" t="str">
        <x:v>{"tokenMode":"old","passwordMode":"valid","emailMode":"valid","method":"POST","contentType":"application/json"}</x:v>
      </x:c>
      <x:c r="K21" s="17" t="str"/>
      <x:c r="L21" s="17" t="str">
        <x:v>PASS</x:v>
      </x:c>
      <x:c r="M21" s="17" t="str"/>
      <x:c r="N21" s="17" t="str">
        <x:v>NO</x:v>
      </x:c>
      <x:c r="O21" s="17" t="str"/>
    </x:row>
    <x:row r="22" ht="42" customHeight="1">
      <x:c r="A22" s="17" t="str">
        <x:v>R-AI-18</x:v>
      </x:c>
      <x:c r="B22" s="17" t="str">
        <x:v>OTP bound to another email is rejected</x:v>
      </x:c>
      <x:c r="C22" s="17" t="str">
        <x:v>Gemini Pro candidate</x:v>
      </x:c>
      <x:c r="D22" s="17" t="str">
        <x:v>VALID</x:v>
      </x:c>
      <x:c r="E22" s="17" t="str">
        <x:v>Traceable to the supplied requirement and has a usable oracle.</x:v>
      </x:c>
      <x:c r="F22" s="17" t="str">
        <x:v>FR-03</x:v>
      </x:c>
      <x:c r="G22" s="17" t="str">
        <x:v>Decision table</x:v>
      </x:c>
      <x:c r="H22" s="17" t="str">
        <x:v>High</x:v>
      </x:c>
      <x:c r="I22" s="17" t="str">
        <x:v>REJECT</x:v>
      </x:c>
      <x:c r="J22" s="17" t="str">
        <x:v>{"tokenMode":"active","passwordMode":"valid","emailMode":"otherRegistered","method":"POST","contentType":"application/json"}</x:v>
      </x:c>
      <x:c r="K22" s="17" t="str"/>
      <x:c r="L22" s="17" t="str">
        <x:v>PASS</x:v>
      </x:c>
      <x:c r="M22" s="17" t="str"/>
      <x:c r="N22" s="17" t="str">
        <x:v>NO</x:v>
      </x:c>
      <x:c r="O22" s="17" t="str"/>
    </x:row>
    <x:row r="23" ht="42" customHeight="1">
      <x:c r="A23" s="17" t="str">
        <x:v>R-AI-19</x:v>
      </x:c>
      <x:c r="B23" s="17" t="str">
        <x:v>Nonexistent six-digit OTP</x:v>
      </x:c>
      <x:c r="C23" s="17" t="str">
        <x:v>Gemini Pro candidate</x:v>
      </x:c>
      <x:c r="D23" s="17" t="str">
        <x:v>VALID</x:v>
      </x:c>
      <x:c r="E23" s="17" t="str">
        <x:v>Traceable to the supplied requirement and has a usable oracle.</x:v>
      </x:c>
      <x:c r="F23" s="17" t="str">
        <x:v>FR-03</x:v>
      </x:c>
      <x:c r="G23" s="17" t="str">
        <x:v>Decision table</x:v>
      </x:c>
      <x:c r="H23" s="17" t="str">
        <x:v>Medium</x:v>
      </x:c>
      <x:c r="I23" s="17" t="str">
        <x:v>REJECT</x:v>
      </x:c>
      <x:c r="J23" s="17" t="str">
        <x:v>{"tokenMode":"wrong","passwordMode":"valid","emailMode":"valid","method":"POST","contentType":"application/json"}</x:v>
      </x:c>
      <x:c r="K23" s="17" t="str"/>
      <x:c r="L23" s="17" t="str">
        <x:v>PASS</x:v>
      </x:c>
      <x:c r="M23" s="17" t="str"/>
      <x:c r="N23" s="17" t="str">
        <x:v>NO</x:v>
      </x:c>
      <x:c r="O23" s="17" t="str"/>
    </x:row>
    <x:row r="24" ht="42" customHeight="1">
      <x:c r="A24" s="17" t="str">
        <x:v>R-AI-20</x:v>
      </x:c>
      <x:c r="B24" s="17" t="str">
        <x:v>OTP length five</x:v>
      </x:c>
      <x:c r="C24" s="17" t="str">
        <x:v>Gemini Pro candidate</x:v>
      </x:c>
      <x:c r="D24" s="17" t="str">
        <x:v>VALID</x:v>
      </x:c>
      <x:c r="E24" s="17" t="str">
        <x:v>Traceable to the supplied requirement and has a usable oracle.</x:v>
      </x:c>
      <x:c r="F24" s="17" t="str">
        <x:v>FR-03,SEC-07</x:v>
      </x:c>
      <x:c r="G24" s="17" t="str">
        <x:v>BVA</x:v>
      </x:c>
      <x:c r="H24" s="17" t="str">
        <x:v>Medium</x:v>
      </x:c>
      <x:c r="I24" s="17" t="str">
        <x:v>REJECT</x:v>
      </x:c>
      <x:c r="J24" s="17" t="str">
        <x:v>{"tokenMode":"length5","passwordMode":"valid","emailMode":"valid","method":"POST","contentType":"application/json"}</x:v>
      </x:c>
      <x:c r="K24" s="17" t="str"/>
      <x:c r="L24" s="17" t="str">
        <x:v>PASS</x:v>
      </x:c>
      <x:c r="M24" s="17" t="str"/>
      <x:c r="N24" s="17" t="str">
        <x:v>NO</x:v>
      </x:c>
      <x:c r="O24" s="17" t="str"/>
    </x:row>
    <x:row r="25" ht="42" customHeight="1">
      <x:c r="A25" s="17" t="str">
        <x:v>R-AI-21</x:v>
      </x:c>
      <x:c r="B25" s="17" t="str">
        <x:v>OTP length seven</x:v>
      </x:c>
      <x:c r="C25" s="17" t="str">
        <x:v>Gemini Pro candidate</x:v>
      </x:c>
      <x:c r="D25" s="17" t="str">
        <x:v>VALID</x:v>
      </x:c>
      <x:c r="E25" s="17" t="str">
        <x:v>Traceable to the supplied requirement and has a usable oracle.</x:v>
      </x:c>
      <x:c r="F25" s="17" t="str">
        <x:v>FR-03,SEC-07</x:v>
      </x:c>
      <x:c r="G25" s="17" t="str">
        <x:v>BVA</x:v>
      </x:c>
      <x:c r="H25" s="17" t="str">
        <x:v>Medium</x:v>
      </x:c>
      <x:c r="I25" s="17" t="str">
        <x:v>REJECT</x:v>
      </x:c>
      <x:c r="J25" s="17" t="str">
        <x:v>{"tokenMode":"length7","passwordMode":"valid","emailMode":"valid","method":"POST","contentType":"application/json"}</x:v>
      </x:c>
      <x:c r="K25" s="17" t="str"/>
      <x:c r="L25" s="17" t="str">
        <x:v>PASS</x:v>
      </x:c>
      <x:c r="M25" s="17" t="str"/>
      <x:c r="N25" s="17" t="str">
        <x:v>NO</x:v>
      </x:c>
      <x:c r="O25" s="17" t="str"/>
    </x:row>
    <x:row r="26" ht="42" customHeight="1">
      <x:c r="A26" s="17" t="str">
        <x:v>R-AI-22</x:v>
      </x:c>
      <x:c r="B26" s="17" t="str">
        <x:v>Alphanumeric OTP</x:v>
      </x:c>
      <x:c r="C26" s="17" t="str">
        <x:v>Gemini Pro candidate</x:v>
      </x:c>
      <x:c r="D26" s="17" t="str">
        <x:v>VALID</x:v>
      </x:c>
      <x:c r="E26" s="17" t="str">
        <x:v>Traceable to the supplied requirement and has a usable oracle.</x:v>
      </x:c>
      <x:c r="F26" s="17" t="str">
        <x:v>FR-03,SEC-07</x:v>
      </x:c>
      <x:c r="G26" s="17" t="str">
        <x:v>EP</x:v>
      </x:c>
      <x:c r="H26" s="17" t="str">
        <x:v>Medium</x:v>
      </x:c>
      <x:c r="I26" s="17" t="str">
        <x:v>REJECT</x:v>
      </x:c>
      <x:c r="J26" s="17" t="str">
        <x:v>{"tokenMode":"alpha","passwordMode":"valid","emailMode":"valid","method":"POST","contentType":"application/json"}</x:v>
      </x:c>
      <x:c r="K26" s="17" t="str"/>
      <x:c r="L26" s="17" t="str">
        <x:v>PASS</x:v>
      </x:c>
      <x:c r="M26" s="17" t="str"/>
      <x:c r="N26" s="17" t="str">
        <x:v>NO</x:v>
      </x:c>
      <x:c r="O26" s="17" t="str"/>
    </x:row>
    <x:row r="27" ht="42" customHeight="1">
      <x:c r="A27" s="17" t="str">
        <x:v>R-AI-23</x:v>
      </x:c>
      <x:c r="B27" s="17" t="str">
        <x:v>Concurrent use of one OTP</x:v>
      </x:c>
      <x:c r="C27" s="17" t="str">
        <x:v>Gemini Pro candidate</x:v>
      </x:c>
      <x:c r="D27" s="17" t="str">
        <x:v>INCOMPLETE</x:v>
      </x:c>
      <x:c r="E27" s="17" t="str">
        <x:v>Requires a parallel runner; the Newman row records the baseline behavior.</x:v>
      </x:c>
      <x:c r="F27" s="17" t="str">
        <x:v>SEC-07</x:v>
      </x:c>
      <x:c r="G27" s="17" t="str">
        <x:v>Concurrency</x:v>
      </x:c>
      <x:c r="H27" s="17" t="str">
        <x:v>Medium</x:v>
      </x:c>
      <x:c r="I27" s="17" t="str">
        <x:v>OBSERVE</x:v>
      </x:c>
      <x:c r="J27" s="17" t="str">
        <x:v>{"tokenMode":"active","passwordMode":"valid","emailMode":"valid","method":"POST","contentType":"application/json"}</x:v>
      </x:c>
      <x:c r="K27" s="17" t="str">
        <x:v>Run the supplied concurrency command from the video script.</x:v>
      </x:c>
      <x:c r="L27" s="17" t="str">
        <x:v>PASS</x:v>
      </x:c>
      <x:c r="M27" s="17" t="str"/>
      <x:c r="N27" s="17" t="str">
        <x:v>NO</x:v>
      </x:c>
      <x:c r="O27" s="17" t="str"/>
    </x:row>
    <x:row r="28" ht="42" customHeight="1">
      <x:c r="A28" s="17" t="str">
        <x:v>R-AI-24</x:v>
      </x:c>
      <x:c r="B28" s="17" t="str">
        <x:v>Unregistered email</x:v>
      </x:c>
      <x:c r="C28" s="17" t="str">
        <x:v>Gemini Pro candidate</x:v>
      </x:c>
      <x:c r="D28" s="17" t="str">
        <x:v>VALID</x:v>
      </x:c>
      <x:c r="E28" s="17" t="str">
        <x:v>Traceable to the supplied requirement and has a usable oracle.</x:v>
      </x:c>
      <x:c r="F28" s="17" t="str">
        <x:v>FR-03</x:v>
      </x:c>
      <x:c r="G28" s="17" t="str">
        <x:v>Decision table</x:v>
      </x:c>
      <x:c r="H28" s="17" t="str">
        <x:v>Medium</x:v>
      </x:c>
      <x:c r="I28" s="17" t="str">
        <x:v>REJECT</x:v>
      </x:c>
      <x:c r="J28" s="17" t="str">
        <x:v>{"tokenMode":"active","passwordMode":"valid","emailMode":"unregistered","method":"POST","contentType":"application/json"}</x:v>
      </x:c>
      <x:c r="K28" s="17" t="str"/>
      <x:c r="L28" s="17" t="str">
        <x:v>PASS</x:v>
      </x:c>
      <x:c r="M28" s="17" t="str"/>
      <x:c r="N28" s="17" t="str">
        <x:v>NO</x:v>
      </x:c>
      <x:c r="O28" s="17" t="str"/>
    </x:row>
    <x:row r="29" ht="42" customHeight="1">
      <x:c r="A29" s="17" t="str">
        <x:v>R-AI-25</x:v>
      </x:c>
      <x:c r="B29" s="17" t="str">
        <x:v>Registered subdomain email</x:v>
      </x:c>
      <x:c r="C29" s="17" t="str">
        <x:v>Gemini Pro candidate</x:v>
      </x:c>
      <x:c r="D29" s="17" t="str">
        <x:v>INCOMPLETE</x:v>
      </x:c>
      <x:c r="E29" s="17" t="str">
        <x:v>The requirements provide an example, not a complete email grammar.</x:v>
      </x:c>
      <x:c r="F29" s="17" t="str">
        <x:v>FR-03</x:v>
      </x:c>
      <x:c r="G29" s="17" t="str">
        <x:v>Robustness</x:v>
      </x:c>
      <x:c r="H29" s="17" t="str">
        <x:v>Medium</x:v>
      </x:c>
      <x:c r="I29" s="17" t="str">
        <x:v>OBSERVE</x:v>
      </x:c>
      <x:c r="J29" s="17" t="str">
        <x:v>{"tokenMode":"active","passwordMode":"valid","emailMode":"valid","method":"POST","contentType":"application/json","emailDomain":"sub.example.com"}</x:v>
      </x:c>
      <x:c r="K29" s="17" t="str"/>
      <x:c r="L29" s="17" t="str">
        <x:v>PASS</x:v>
      </x:c>
      <x:c r="M29" s="17" t="str"/>
      <x:c r="N29" s="17" t="str">
        <x:v>NO</x:v>
      </x:c>
      <x:c r="O29" s="17" t="str"/>
    </x:row>
    <x:row r="30" ht="42" customHeight="1">
      <x:c r="A30" s="17" t="str">
        <x:v>R-AI-26</x:v>
      </x:c>
      <x:c r="B30" s="17" t="str">
        <x:v>Email casing differs from registration</x:v>
      </x:c>
      <x:c r="C30" s="17" t="str">
        <x:v>Gemini Pro candidate</x:v>
      </x:c>
      <x:c r="D30" s="17" t="str">
        <x:v>INCOMPLETE</x:v>
      </x:c>
      <x:c r="E30" s="17" t="str">
        <x:v>Email normalization is unspecified.</x:v>
      </x:c>
      <x:c r="F30" s="17" t="str">
        <x:v>FR-03</x:v>
      </x:c>
      <x:c r="G30" s="17" t="str">
        <x:v>Robustness</x:v>
      </x:c>
      <x:c r="H30" s="17" t="str">
        <x:v>Medium</x:v>
      </x:c>
      <x:c r="I30" s="17" t="str">
        <x:v>OBSERVE</x:v>
      </x:c>
      <x:c r="J30" s="17" t="str">
        <x:v>{"tokenMode":"active","passwordMode":"valid","emailMode":"uppercase","method":"POST","contentType":"application/json"}</x:v>
      </x:c>
      <x:c r="K30" s="17" t="str"/>
      <x:c r="L30" s="17" t="str">
        <x:v>PASS</x:v>
      </x:c>
      <x:c r="M30" s="17" t="str"/>
      <x:c r="N30" s="17" t="str">
        <x:v>NO</x:v>
      </x:c>
      <x:c r="O30" s="17" t="str"/>
    </x:row>
    <x:row r="31" ht="42" customHeight="1">
      <x:c r="A31" s="17" t="str">
        <x:v>R-AI-27</x:v>
      </x:c>
      <x:c r="B31" s="17" t="str">
        <x:v>Missing email property</x:v>
      </x:c>
      <x:c r="C31" s="17" t="str">
        <x:v>Gemini Pro candidate</x:v>
      </x:c>
      <x:c r="D31" s="17" t="str">
        <x:v>VALID</x:v>
      </x:c>
      <x:c r="E31" s="17" t="str">
        <x:v>Traceable to the supplied requirement and has a usable oracle.</x:v>
      </x:c>
      <x:c r="F31" s="17" t="str">
        <x:v>FR-03</x:v>
      </x:c>
      <x:c r="G31" s="17" t="str">
        <x:v>Negative</x:v>
      </x:c>
      <x:c r="H31" s="17" t="str">
        <x:v>Medium</x:v>
      </x:c>
      <x:c r="I31" s="17" t="str">
        <x:v>REJECT</x:v>
      </x:c>
      <x:c r="J31" s="17" t="str">
        <x:v>{"tokenMode":"active","passwordMode":"valid","emailMode":"missing","method":"POST","contentType":"application/json"}</x:v>
      </x:c>
      <x:c r="K31" s="17" t="str"/>
      <x:c r="L31" s="17" t="str">
        <x:v>PASS</x:v>
      </x:c>
      <x:c r="M31" s="17" t="str"/>
      <x:c r="N31" s="17" t="str">
        <x:v>NO</x:v>
      </x:c>
      <x:c r="O31" s="17" t="str"/>
    </x:row>
    <x:row r="32" ht="42" customHeight="1">
      <x:c r="A32" s="17" t="str">
        <x:v>R-AI-28</x:v>
      </x:c>
      <x:c r="B32" s="17" t="str">
        <x:v>Null email</x:v>
      </x:c>
      <x:c r="C32" s="17" t="str">
        <x:v>Gemini Pro candidate</x:v>
      </x:c>
      <x:c r="D32" s="17" t="str">
        <x:v>VALID</x:v>
      </x:c>
      <x:c r="E32" s="17" t="str">
        <x:v>Traceable to the supplied requirement and has a usable oracle.</x:v>
      </x:c>
      <x:c r="F32" s="17" t="str">
        <x:v>FR-03</x:v>
      </x:c>
      <x:c r="G32" s="17" t="str">
        <x:v>Negative</x:v>
      </x:c>
      <x:c r="H32" s="17" t="str">
        <x:v>Medium</x:v>
      </x:c>
      <x:c r="I32" s="17" t="str">
        <x:v>REJECT</x:v>
      </x:c>
      <x:c r="J32" s="17" t="str">
        <x:v>{"tokenMode":"active","passwordMode":"valid","emailMode":"null","method":"POST","contentType":"application/json"}</x:v>
      </x:c>
      <x:c r="K32" s="17" t="str"/>
      <x:c r="L32" s="17" t="str">
        <x:v>PASS</x:v>
      </x:c>
      <x:c r="M32" s="17" t="str"/>
      <x:c r="N32" s="17" t="str">
        <x:v>NO</x:v>
      </x:c>
      <x:c r="O32" s="17" t="str"/>
    </x:row>
    <x:row r="33" ht="42" customHeight="1">
      <x:c r="A33" s="17" t="str">
        <x:v>R-AI-29</x:v>
      </x:c>
      <x:c r="B33" s="17" t="str">
        <x:v>Empty email</x:v>
      </x:c>
      <x:c r="C33" s="17" t="str">
        <x:v>Gemini Pro candidate</x:v>
      </x:c>
      <x:c r="D33" s="17" t="str">
        <x:v>VALID</x:v>
      </x:c>
      <x:c r="E33" s="17" t="str">
        <x:v>Traceable to the supplied requirement and has a usable oracle.</x:v>
      </x:c>
      <x:c r="F33" s="17" t="str">
        <x:v>FR-03</x:v>
      </x:c>
      <x:c r="G33" s="17" t="str">
        <x:v>Negative</x:v>
      </x:c>
      <x:c r="H33" s="17" t="str">
        <x:v>Medium</x:v>
      </x:c>
      <x:c r="I33" s="17" t="str">
        <x:v>REJECT</x:v>
      </x:c>
      <x:c r="J33" s="17" t="str">
        <x:v>{"tokenMode":"active","passwordMode":"valid","emailMode":"empty","method":"POST","contentType":"application/json"}</x:v>
      </x:c>
      <x:c r="K33" s="17" t="str"/>
      <x:c r="L33" s="17" t="str">
        <x:v>PASS</x:v>
      </x:c>
      <x:c r="M33" s="17" t="str"/>
      <x:c r="N33" s="17" t="str">
        <x:v>NO</x:v>
      </x:c>
      <x:c r="O33" s="17" t="str"/>
    </x:row>
    <x:row r="34" ht="42" customHeight="1">
      <x:c r="A34" s="17" t="str">
        <x:v>R-AI-30</x:v>
      </x:c>
      <x:c r="B34" s="17" t="str">
        <x:v>Email has numeric JSON type</x:v>
      </x:c>
      <x:c r="C34" s="17" t="str">
        <x:v>Gemini Pro candidate</x:v>
      </x:c>
      <x:c r="D34" s="17" t="str">
        <x:v>VALID</x:v>
      </x:c>
      <x:c r="E34" s="17" t="str">
        <x:v>Traceable to the supplied requirement and has a usable oracle.</x:v>
      </x:c>
      <x:c r="F34" s="17" t="str">
        <x:v>FR-03</x:v>
      </x:c>
      <x:c r="G34" s="17" t="str">
        <x:v>Negative</x:v>
      </x:c>
      <x:c r="H34" s="17" t="str">
        <x:v>Medium</x:v>
      </x:c>
      <x:c r="I34" s="17" t="str">
        <x:v>REJECT</x:v>
      </x:c>
      <x:c r="J34" s="17" t="str">
        <x:v>{"tokenMode":"active","passwordMode":"valid","emailMode":"integer","method":"POST","contentType":"application/json"}</x:v>
      </x:c>
      <x:c r="K34" s="17" t="str"/>
      <x:c r="L34" s="17" t="str">
        <x:v>PASS</x:v>
      </x:c>
      <x:c r="M34" s="17" t="str"/>
      <x:c r="N34" s="17" t="str">
        <x:v>NO</x:v>
      </x:c>
      <x:c r="O34" s="17" t="str"/>
    </x:row>
    <x:row r="35" ht="42" customHeight="1">
      <x:c r="A35" s="17" t="str">
        <x:v>R-AI-31</x:v>
      </x:c>
      <x:c r="B35" s="17" t="str">
        <x:v>Missing resetToken property</x:v>
      </x:c>
      <x:c r="C35" s="17" t="str">
        <x:v>Gemini Pro candidate</x:v>
      </x:c>
      <x:c r="D35" s="17" t="str">
        <x:v>VALID</x:v>
      </x:c>
      <x:c r="E35" s="17" t="str">
        <x:v>Traceable to the supplied requirement and has a usable oracle.</x:v>
      </x:c>
      <x:c r="F35" s="17" t="str">
        <x:v>FR-03</x:v>
      </x:c>
      <x:c r="G35" s="17" t="str">
        <x:v>Negative</x:v>
      </x:c>
      <x:c r="H35" s="17" t="str">
        <x:v>Medium</x:v>
      </x:c>
      <x:c r="I35" s="17" t="str">
        <x:v>REJECT</x:v>
      </x:c>
      <x:c r="J35" s="17" t="str">
        <x:v>{"tokenMode":"missing","passwordMode":"valid","emailMode":"valid","method":"POST","contentType":"application/json"}</x:v>
      </x:c>
      <x:c r="K35" s="17" t="str"/>
      <x:c r="L35" s="17" t="str">
        <x:v>PASS</x:v>
      </x:c>
      <x:c r="M35" s="17" t="str"/>
      <x:c r="N35" s="17" t="str">
        <x:v>NO</x:v>
      </x:c>
      <x:c r="O35" s="17" t="str"/>
    </x:row>
    <x:row r="36" ht="42" customHeight="1">
      <x:c r="A36" s="17" t="str">
        <x:v>R-AI-32</x:v>
      </x:c>
      <x:c r="B36" s="17" t="str">
        <x:v>Null resetToken</x:v>
      </x:c>
      <x:c r="C36" s="17" t="str">
        <x:v>Gemini Pro candidate</x:v>
      </x:c>
      <x:c r="D36" s="17" t="str">
        <x:v>VALID</x:v>
      </x:c>
      <x:c r="E36" s="17" t="str">
        <x:v>Traceable to the supplied requirement and has a usable oracle.</x:v>
      </x:c>
      <x:c r="F36" s="17" t="str">
        <x:v>FR-03</x:v>
      </x:c>
      <x:c r="G36" s="17" t="str">
        <x:v>Negative</x:v>
      </x:c>
      <x:c r="H36" s="17" t="str">
        <x:v>Medium</x:v>
      </x:c>
      <x:c r="I36" s="17" t="str">
        <x:v>REJECT</x:v>
      </x:c>
      <x:c r="J36" s="17" t="str">
        <x:v>{"tokenMode":"null","passwordMode":"valid","emailMode":"valid","method":"POST","contentType":"application/json"}</x:v>
      </x:c>
      <x:c r="K36" s="17" t="str"/>
      <x:c r="L36" s="17" t="str">
        <x:v>PASS</x:v>
      </x:c>
      <x:c r="M36" s="17" t="str"/>
      <x:c r="N36" s="17" t="str">
        <x:v>NO</x:v>
      </x:c>
      <x:c r="O36" s="17" t="str"/>
    </x:row>
    <x:row r="37" ht="42" customHeight="1">
      <x:c r="A37" s="17" t="str">
        <x:v>R-AI-33</x:v>
      </x:c>
      <x:c r="B37" s="17" t="str">
        <x:v>Empty resetToken</x:v>
      </x:c>
      <x:c r="C37" s="17" t="str">
        <x:v>Gemini Pro candidate</x:v>
      </x:c>
      <x:c r="D37" s="17" t="str">
        <x:v>VALID</x:v>
      </x:c>
      <x:c r="E37" s="17" t="str">
        <x:v>Traceable to the supplied requirement and has a usable oracle.</x:v>
      </x:c>
      <x:c r="F37" s="17" t="str">
        <x:v>FR-03</x:v>
      </x:c>
      <x:c r="G37" s="17" t="str">
        <x:v>Negative</x:v>
      </x:c>
      <x:c r="H37" s="17" t="str">
        <x:v>Medium</x:v>
      </x:c>
      <x:c r="I37" s="17" t="str">
        <x:v>REJECT</x:v>
      </x:c>
      <x:c r="J37" s="17" t="str">
        <x:v>{"tokenMode":"empty","passwordMode":"valid","emailMode":"valid","method":"POST","contentType":"application/json"}</x:v>
      </x:c>
      <x:c r="K37" s="17" t="str"/>
      <x:c r="L37" s="17" t="str">
        <x:v>PASS</x:v>
      </x:c>
      <x:c r="M37" s="17" t="str"/>
      <x:c r="N37" s="17" t="str">
        <x:v>NO</x:v>
      </x:c>
      <x:c r="O37" s="17" t="str"/>
    </x:row>
    <x:row r="38" ht="42" customHeight="1">
      <x:c r="A38" s="17" t="str">
        <x:v>R-AI-34</x:v>
      </x:c>
      <x:c r="B38" s="17" t="str">
        <x:v>resetToken has numeric JSON type</x:v>
      </x:c>
      <x:c r="C38" s="17" t="str">
        <x:v>Gemini Pro candidate</x:v>
      </x:c>
      <x:c r="D38" s="17" t="str">
        <x:v>INCOMPLETE</x:v>
      </x:c>
      <x:c r="E38" s="17" t="str">
        <x:v>The API specification example does not explicitly define JSON type coercion.</x:v>
      </x:c>
      <x:c r="F38" s="17" t="str">
        <x:v>FR-03</x:v>
      </x:c>
      <x:c r="G38" s="17" t="str">
        <x:v>Negative</x:v>
      </x:c>
      <x:c r="H38" s="17" t="str">
        <x:v>Medium</x:v>
      </x:c>
      <x:c r="I38" s="17" t="str">
        <x:v>OBSERVE</x:v>
      </x:c>
      <x:c r="J38" s="17" t="str">
        <x:v>{"tokenMode":"integer","passwordMode":"valid","emailMode":"valid","method":"POST","contentType":"application/json"}</x:v>
      </x:c>
      <x:c r="K38" s="17" t="str"/>
      <x:c r="L38" s="17" t="str">
        <x:v>PASS</x:v>
      </x:c>
      <x:c r="M38" s="17" t="str"/>
      <x:c r="N38" s="17" t="str">
        <x:v>NO</x:v>
      </x:c>
      <x:c r="O38" s="17" t="str"/>
    </x:row>
    <x:row r="39" ht="42" customHeight="1">
      <x:c r="A39" s="17" t="str">
        <x:v>R-AI-35</x:v>
      </x:c>
      <x:c r="B39" s="17" t="str">
        <x:v>Missing newPassword property</x:v>
      </x:c>
      <x:c r="C39" s="17" t="str">
        <x:v>Gemini Pro candidate</x:v>
      </x:c>
      <x:c r="D39" s="17" t="str">
        <x:v>VALID</x:v>
      </x:c>
      <x:c r="E39" s="17" t="str">
        <x:v>Traceable to the supplied requirement and has a usable oracle.</x:v>
      </x:c>
      <x:c r="F39" s="17" t="str">
        <x:v>FR-01</x:v>
      </x:c>
      <x:c r="G39" s="17" t="str">
        <x:v>Negative</x:v>
      </x:c>
      <x:c r="H39" s="17" t="str">
        <x:v>Medium</x:v>
      </x:c>
      <x:c r="I39" s="17" t="str">
        <x:v>REJECT</x:v>
      </x:c>
      <x:c r="J39" s="17" t="str">
        <x:v>{"tokenMode":"active","passwordMode":"missing","emailMode":"valid","method":"POST","contentType":"application/json"}</x:v>
      </x:c>
      <x:c r="K39" s="17" t="str"/>
      <x:c r="L39" s="17" t="str">
        <x:v>FAIL</x:v>
      </x:c>
      <x:c r="M39" s="17" t="str">
        <x:v>[R-AI-35] no success response for invalid reset | [R-AI-35] password state matches the normative oracle</x:v>
      </x:c>
      <x:c r="N39" s="17" t="str">
        <x:v>NO</x:v>
      </x:c>
      <x:c r="O39" s="17" t="str"/>
    </x:row>
    <x:row r="40" ht="42" customHeight="1">
      <x:c r="A40" s="17" t="str">
        <x:v>R-AI-36</x:v>
      </x:c>
      <x:c r="B40" s="17" t="str">
        <x:v>Null newPassword</x:v>
      </x:c>
      <x:c r="C40" s="17" t="str">
        <x:v>Gemini Pro candidate</x:v>
      </x:c>
      <x:c r="D40" s="17" t="str">
        <x:v>VALID</x:v>
      </x:c>
      <x:c r="E40" s="17" t="str">
        <x:v>Traceable to the supplied requirement and has a usable oracle.</x:v>
      </x:c>
      <x:c r="F40" s="17" t="str">
        <x:v>FR-01</x:v>
      </x:c>
      <x:c r="G40" s="17" t="str">
        <x:v>Negative</x:v>
      </x:c>
      <x:c r="H40" s="17" t="str">
        <x:v>Medium</x:v>
      </x:c>
      <x:c r="I40" s="17" t="str">
        <x:v>REJECT</x:v>
      </x:c>
      <x:c r="J40" s="17" t="str">
        <x:v>{"tokenMode":"active","passwordMode":"null","emailMode":"valid","method":"POST","contentType":"application/json"}</x:v>
      </x:c>
      <x:c r="K40" s="17" t="str"/>
      <x:c r="L40" s="17" t="str">
        <x:v>FAIL</x:v>
      </x:c>
      <x:c r="M40" s="17" t="str">
        <x:v>[R-AI-36] no success response for invalid reset | [R-AI-36] password state matches the normative oracle</x:v>
      </x:c>
      <x:c r="N40" s="17" t="str">
        <x:v>NO</x:v>
      </x:c>
      <x:c r="O40" s="17" t="str"/>
    </x:row>
    <x:row r="41" ht="42" customHeight="1">
      <x:c r="A41" s="17" t="str">
        <x:v>R-AI-37</x:v>
      </x:c>
      <x:c r="B41" s="17" t="str">
        <x:v>Empty newPassword</x:v>
      </x:c>
      <x:c r="C41" s="17" t="str">
        <x:v>Gemini Pro candidate</x:v>
      </x:c>
      <x:c r="D41" s="17" t="str">
        <x:v>VALID</x:v>
      </x:c>
      <x:c r="E41" s="17" t="str">
        <x:v>Traceable to the supplied requirement and has a usable oracle.</x:v>
      </x:c>
      <x:c r="F41" s="17" t="str">
        <x:v>FR-01</x:v>
      </x:c>
      <x:c r="G41" s="17" t="str">
        <x:v>Negative</x:v>
      </x:c>
      <x:c r="H41" s="17" t="str">
        <x:v>Medium</x:v>
      </x:c>
      <x:c r="I41" s="17" t="str">
        <x:v>REJECT</x:v>
      </x:c>
      <x:c r="J41" s="17" t="str">
        <x:v>{"tokenMode":"active","passwordMode":"empty","emailMode":"valid","method":"POST","contentType":"application/json"}</x:v>
      </x:c>
      <x:c r="K41" s="17" t="str"/>
      <x:c r="L41" s="17" t="str">
        <x:v>FAIL</x:v>
      </x:c>
      <x:c r="M41" s="17" t="str">
        <x:v>[R-AI-37] no success response for invalid reset | [R-AI-37] password state matches the normative oracle</x:v>
      </x:c>
      <x:c r="N41" s="17" t="str">
        <x:v>NO</x:v>
      </x:c>
      <x:c r="O41" s="17" t="str"/>
    </x:row>
    <x:row r="42" ht="42" customHeight="1">
      <x:c r="A42" s="17" t="str">
        <x:v>R-AI-38</x:v>
      </x:c>
      <x:c r="B42" s="17" t="str">
        <x:v>newPassword has numeric JSON type</x:v>
      </x:c>
      <x:c r="C42" s="17" t="str">
        <x:v>Gemini Pro candidate</x:v>
      </x:c>
      <x:c r="D42" s="17" t="str">
        <x:v>VALID</x:v>
      </x:c>
      <x:c r="E42" s="17" t="str">
        <x:v>Traceable to the supplied requirement and has a usable oracle.</x:v>
      </x:c>
      <x:c r="F42" s="17" t="str">
        <x:v>FR-01</x:v>
      </x:c>
      <x:c r="G42" s="17" t="str">
        <x:v>Negative</x:v>
      </x:c>
      <x:c r="H42" s="17" t="str">
        <x:v>Medium</x:v>
      </x:c>
      <x:c r="I42" s="17" t="str">
        <x:v>REJECT</x:v>
      </x:c>
      <x:c r="J42" s="17" t="str">
        <x:v>{"tokenMode":"active","passwordMode":"integer","emailMode":"valid","method":"POST","contentType":"application/json"}</x:v>
      </x:c>
      <x:c r="K42" s="17" t="str"/>
      <x:c r="L42" s="17" t="str">
        <x:v>FAIL</x:v>
      </x:c>
      <x:c r="M42" s="17" t="str">
        <x:v>[R-AI-38] no success response for invalid reset | [R-AI-38] password state matches the normative oracle</x:v>
      </x:c>
      <x:c r="N42" s="17" t="str">
        <x:v>NO</x:v>
      </x:c>
      <x:c r="O42" s="17" t="str"/>
    </x:row>
    <x:row r="43" ht="42" customHeight="1">
      <x:c r="A43" s="17" t="str">
        <x:v>R-AI-39</x:v>
      </x:c>
      <x:c r="B43" s="17" t="str">
        <x:v>Undocumented privilege property</x:v>
      </x:c>
      <x:c r="C43" s="17" t="str">
        <x:v>Gemini Pro candidate</x:v>
      </x:c>
      <x:c r="D43" s="17" t="str">
        <x:v>INCOMPLETE</x:v>
      </x:c>
      <x:c r="E43" s="17" t="str">
        <x:v>Strict-versus-permissive extra-property handling is unspecified.</x:v>
      </x:c>
      <x:c r="F43" s="17" t="str">
        <x:v>Schema</x:v>
      </x:c>
      <x:c r="G43" s="17" t="str">
        <x:v>Robustness</x:v>
      </x:c>
      <x:c r="H43" s="17" t="str">
        <x:v>Medium</x:v>
      </x:c>
      <x:c r="I43" s="17" t="str">
        <x:v>OBSERVE</x:v>
      </x:c>
      <x:c r="J43" s="17" t="str">
        <x:v>{"tokenMode":"active","passwordMode":"valid","emailMode":"valid","method":"POST","contentType":"application/json","extraProperty":true}</x:v>
      </x:c>
      <x:c r="K43" s="17" t="str"/>
      <x:c r="L43" s="17" t="str">
        <x:v>PASS</x:v>
      </x:c>
      <x:c r="M43" s="17" t="str"/>
      <x:c r="N43" s="17" t="str">
        <x:v>NO</x:v>
      </x:c>
      <x:c r="O43" s="17" t="str"/>
    </x:row>
    <x:row r="44" ht="42" customHeight="1">
      <x:c r="A44" s="17" t="str">
        <x:v>R-AI-40</x:v>
      </x:c>
      <x:c r="B44" s="17" t="str">
        <x:v>Malformed JSON</x:v>
      </x:c>
      <x:c r="C44" s="17" t="str">
        <x:v>Gemini Pro candidate</x:v>
      </x:c>
      <x:c r="D44" s="17" t="str">
        <x:v>VALID</x:v>
      </x:c>
      <x:c r="E44" s="17" t="str">
        <x:v>Traceable to the supplied requirement and has a usable oracle.</x:v>
      </x:c>
      <x:c r="F44" s="17" t="str">
        <x:v>Schema</x:v>
      </x:c>
      <x:c r="G44" s="17" t="str">
        <x:v>Negative</x:v>
      </x:c>
      <x:c r="H44" s="17" t="str">
        <x:v>Medium</x:v>
      </x:c>
      <x:c r="I44" s="17" t="str">
        <x:v>REJECT</x:v>
      </x:c>
      <x:c r="J44" s="17" t="str">
        <x:v>{"tokenMode":"active","passwordMode":"valid","emailMode":"valid","method":"POST","contentType":"application/json","rawBody":"{\"email\":\"x\","}</x:v>
      </x:c>
      <x:c r="K44" s="17" t="str"/>
      <x:c r="L44" s="17" t="str">
        <x:v>FAIL</x:v>
      </x:c>
      <x:c r="M44" s="17" t="str">
        <x:v>[R-AI-40] response has no stack/database leak</x:v>
      </x:c>
      <x:c r="N44" s="17" t="str">
        <x:v>NO</x:v>
      </x:c>
      <x:c r="O44" s="17" t="str"/>
    </x:row>
    <x:row r="45" ht="42" customHeight="1">
      <x:c r="A45" s="17" t="str">
        <x:v>R-AI-41</x:v>
      </x:c>
      <x:c r="B45" s="17" t="str">
        <x:v>SQL injection string in email</x:v>
      </x:c>
      <x:c r="C45" s="17" t="str">
        <x:v>Gemini Pro candidate</x:v>
      </x:c>
      <x:c r="D45" s="17" t="str">
        <x:v>VALID</x:v>
      </x:c>
      <x:c r="E45" s="17" t="str">
        <x:v>Traceable to the supplied requirement and has a usable oracle.</x:v>
      </x:c>
      <x:c r="F45" s="17" t="str">
        <x:v>SEC-05</x:v>
      </x:c>
      <x:c r="G45" s="17" t="str">
        <x:v>Security</x:v>
      </x:c>
      <x:c r="H45" s="17" t="str">
        <x:v>Medium</x:v>
      </x:c>
      <x:c r="I45" s="17" t="str">
        <x:v>REJECT</x:v>
      </x:c>
      <x:c r="J45" s="17" t="str">
        <x:v>{"tokenMode":"active","passwordMode":"valid","emailMode":"sqli","method":"POST","contentType":"application/json"}</x:v>
      </x:c>
      <x:c r="K45" s="17" t="str"/>
      <x:c r="L45" s="17" t="str">
        <x:v>PASS</x:v>
      </x:c>
      <x:c r="M45" s="17" t="str"/>
      <x:c r="N45" s="17" t="str">
        <x:v>NO</x:v>
      </x:c>
      <x:c r="O45" s="17" t="str"/>
    </x:row>
    <x:row r="46" ht="42" customHeight="1">
      <x:c r="A46" s="17" t="str">
        <x:v>R-AI-42</x:v>
      </x:c>
      <x:c r="B46" s="17" t="str">
        <x:v>SQL injection string in resetToken</x:v>
      </x:c>
      <x:c r="C46" s="17" t="str">
        <x:v>Gemini Pro candidate</x:v>
      </x:c>
      <x:c r="D46" s="17" t="str">
        <x:v>VALID</x:v>
      </x:c>
      <x:c r="E46" s="17" t="str">
        <x:v>Traceable to the supplied requirement and has a usable oracle.</x:v>
      </x:c>
      <x:c r="F46" s="17" t="str">
        <x:v>SEC-05</x:v>
      </x:c>
      <x:c r="G46" s="17" t="str">
        <x:v>Security</x:v>
      </x:c>
      <x:c r="H46" s="17" t="str">
        <x:v>Medium</x:v>
      </x:c>
      <x:c r="I46" s="17" t="str">
        <x:v>REJECT</x:v>
      </x:c>
      <x:c r="J46" s="17" t="str">
        <x:v>{"tokenMode":"sqli","passwordMode":"valid","emailMode":"valid","method":"POST","contentType":"application/json"}</x:v>
      </x:c>
      <x:c r="K46" s="17" t="str"/>
      <x:c r="L46" s="17" t="str">
        <x:v>PASS</x:v>
      </x:c>
      <x:c r="M46" s="17" t="str"/>
      <x:c r="N46" s="17" t="str">
        <x:v>NO</x:v>
      </x:c>
      <x:c r="O46" s="17" t="str"/>
    </x:row>
    <x:row r="47" ht="42" customHeight="1">
      <x:c r="A47" s="17" t="str">
        <x:v>R-H-01</x:v>
      </x:c>
      <x:c r="B47" s="17" t="str">
        <x:v>JSON sent with text/plain Content-Type</x:v>
      </x:c>
      <x:c r="C47" s="17" t="str">
        <x:v>Student extension</x:v>
      </x:c>
      <x:c r="D47" s="17" t="str">
        <x:v>STUDENT_ADDED</x:v>
      </x:c>
      <x:c r="E47" s="17" t="str">
        <x:v>Added during human review because the AI candidate pool missed this risk.</x:v>
      </x:c>
      <x:c r="F47" s="17" t="str">
        <x:v>Schema</x:v>
      </x:c>
      <x:c r="G47" s="17" t="str">
        <x:v>Protocol robustness</x:v>
      </x:c>
      <x:c r="H47" s="17" t="str">
        <x:v>High</x:v>
      </x:c>
      <x:c r="I47" s="17" t="str">
        <x:v>OBSERVE</x:v>
      </x:c>
      <x:c r="J47" s="17" t="str">
        <x:v>{"tokenMode":"active","passwordMode":"valid","emailMode":"valid","method":"POST","contentType":"text/plain"}</x:v>
      </x:c>
      <x:c r="K47" s="17" t="str"/>
      <x:c r="L47" s="17" t="str">
        <x:v>FAIL</x:v>
      </x:c>
      <x:c r="M47" s="17" t="str">
        <x:v>[R-H-01] response has no stack/database leak</x:v>
      </x:c>
      <x:c r="N47" s="17" t="str">
        <x:v>NO</x:v>
      </x:c>
      <x:c r="O47" s="17" t="str"/>
    </x:row>
    <x:row r="48" ht="42" customHeight="1">
      <x:c r="A48" s="17" t="str">
        <x:v>R-H-02</x:v>
      </x:c>
      <x:c r="B48" s="17" t="str">
        <x:v>OTP brute-force and rate-limit exploration</x:v>
      </x:c>
      <x:c r="C48" s="17" t="str">
        <x:v>Student extension</x:v>
      </x:c>
      <x:c r="D48" s="17" t="str">
        <x:v>STUDENT_ADDED</x:v>
      </x:c>
      <x:c r="E48" s="17" t="str">
        <x:v>Added during human review because the AI candidate pool missed this risk.</x:v>
      </x:c>
      <x:c r="F48" s="17" t="str">
        <x:v>SEC-07</x:v>
      </x:c>
      <x:c r="G48" s="17" t="str">
        <x:v>Abuse case</x:v>
      </x:c>
      <x:c r="H48" s="17" t="str">
        <x:v>High</x:v>
      </x:c>
      <x:c r="I48" s="17" t="str">
        <x:v>OBSERVE</x:v>
      </x:c>
      <x:c r="J48" s="17" t="str">
        <x:v>{"tokenMode":"wrong","passwordMode":"valid","emailMode":"valid","method":"POST","contentType":"application/json"}</x:v>
      </x:c>
      <x:c r="K48" s="17" t="str">
        <x:v>Run a controlled 100-attempt data file and review throttling.</x:v>
      </x:c>
      <x:c r="L48" s="17" t="str">
        <x:v>PASS</x:v>
      </x:c>
      <x:c r="M48" s="17" t="str"/>
      <x:c r="N48" s="17" t="str">
        <x:v>NO</x:v>
      </x:c>
      <x:c r="O48" s="17" t="str"/>
    </x:row>
    <x:row r="49" ht="42" customHeight="1">
      <x:c r="A49" s="17" t="str">
        <x:v>R-H-03</x:v>
      </x:c>
      <x:c r="B49" s="17" t="str">
        <x:v>Wrong HTTP method does not reset password</x:v>
      </x:c>
      <x:c r="C49" s="17" t="str">
        <x:v>Student extension</x:v>
      </x:c>
      <x:c r="D49" s="17" t="str">
        <x:v>STUDENT_ADDED</x:v>
      </x:c>
      <x:c r="E49" s="17" t="str">
        <x:v>Added during human review because the AI candidate pool missed this risk.</x:v>
      </x:c>
      <x:c r="F49" s="17" t="str">
        <x:v>API specification</x:v>
      </x:c>
      <x:c r="G49" s="17" t="str">
        <x:v>Protocol negative</x:v>
      </x:c>
      <x:c r="H49" s="17" t="str">
        <x:v>High</x:v>
      </x:c>
      <x:c r="I49" s="17" t="str">
        <x:v>REJECT</x:v>
      </x:c>
      <x:c r="J49" s="17" t="str">
        <x:v>{"tokenMode":"active","passwordMode":"valid","emailMode":"valid","method":"PUT","contentType":"application/json"}</x:v>
      </x:c>
      <x:c r="K49" s="17" t="str"/>
      <x:c r="L49" s="17" t="str">
        <x:v>PASS</x:v>
      </x:c>
      <x:c r="M49" s="17" t="str"/>
      <x:c r="N49" s="17" t="str">
        <x:v>NO</x:v>
      </x:c>
      <x:c r="O49" s="17" t="str"/>
    </x:row>
    <x:row r="50" ht="42" customHeight="1">
      <x:c r="A50" s="17" t="str">
        <x:v>R-H-04</x:v>
      </x:c>
      <x:c r="B50" s="17" t="str">
        <x:v>Password contains a NUL character</x:v>
      </x:c>
      <x:c r="C50" s="17" t="str">
        <x:v>Student extension</x:v>
      </x:c>
      <x:c r="D50" s="17" t="str">
        <x:v>STUDENT_ADDED</x:v>
      </x:c>
      <x:c r="E50" s="17" t="str">
        <x:v>Added during human review because the AI candidate pool missed this risk.</x:v>
      </x:c>
      <x:c r="F50" s="17" t="str">
        <x:v>FR-01</x:v>
      </x:c>
      <x:c r="G50" s="17" t="str">
        <x:v>Robustness</x:v>
      </x:c>
      <x:c r="H50" s="17" t="str">
        <x:v>High</x:v>
      </x:c>
      <x:c r="I50" s="17" t="str">
        <x:v>OBSERVE</x:v>
      </x:c>
      <x:c r="J50" s="17" t="str">
        <x:v>{"tokenMode":"active","passwordMode":"nul","emailMode":"valid","method":"POST","contentType":"application/json"}</x:v>
      </x:c>
      <x:c r="K50" s="17" t="str"/>
      <x:c r="L50" s="17" t="str">
        <x:v>PASS</x:v>
      </x:c>
      <x:c r="M50" s="17" t="str"/>
      <x:c r="N50" s="17" t="str">
        <x:v>NO</x:v>
      </x:c>
      <x:c r="O50" s="17" t="str"/>
    </x:row>
    <x:row r="51" ht="42" customHeight="1">
      <x:c r="A51" s="17" t="str">
        <x:v>R-H-05</x:v>
      </x:c>
      <x:c r="B51" s="17" t="str">
        <x:v>Successful reset/login responses do not leak password or reset token</x:v>
      </x:c>
      <x:c r="C51" s="17" t="str">
        <x:v>Student extension</x:v>
      </x:c>
      <x:c r="D51" s="17" t="str">
        <x:v>STUDENT_ADDED</x:v>
      </x:c>
      <x:c r="E51" s="17" t="str">
        <x:v>Added during human review because the AI candidate pool missed this risk.</x:v>
      </x:c>
      <x:c r="F51" s="17" t="str">
        <x:v>SEC-01,SEC-07</x:v>
      </x:c>
      <x:c r="G51" s="17" t="str">
        <x:v>Information disclosure</x:v>
      </x:c>
      <x:c r="H51" s="17" t="str">
        <x:v>High</x:v>
      </x:c>
      <x:c r="I51" s="17" t="str">
        <x:v>ACCEPT</x:v>
      </x:c>
      <x:c r="J51" s="17" t="str">
        <x:v>{"tokenMode":"active","passwordMode":"valid","emailMode":"valid","method":"POST","contentType":"application/json","leakCheck":true}</x:v>
      </x:c>
      <x:c r="K51" s="17" t="str"/>
      <x:c r="L51" s="17" t="str">
        <x:v>FAIL</x:v>
      </x:c>
      <x:c r="M51" s="17" t="str">
        <x:v>Login response does not disclose stored secrets</x:v>
      </x:c>
      <x:c r="N51" s="17" t="str">
        <x:v>NO</x:v>
      </x:c>
      <x:c r="O51" s="17" t="str"/>
    </x:row>
    <x:row r="52" ht="42" customHeight="1">
      <x:c r="A52" s="17" t="str">
        <x:v>R-H-06</x:v>
      </x:c>
      <x:c r="B52" s="17" t="str">
        <x:v>Password storage is not plaintext</x:v>
      </x:c>
      <x:c r="C52" s="17" t="str">
        <x:v>Student extension</x:v>
      </x:c>
      <x:c r="D52" s="17" t="str">
        <x:v>STUDENT_ADDED</x:v>
      </x:c>
      <x:c r="E52" s="17" t="str">
        <x:v>Added during human review because the AI candidate pool missed this risk.</x:v>
      </x:c>
      <x:c r="F52" s="17" t="str">
        <x:v>SEC-01</x:v>
      </x:c>
      <x:c r="G52" s="17" t="str">
        <x:v>White-box security</x:v>
      </x:c>
      <x:c r="H52" s="17" t="str">
        <x:v>High</x:v>
      </x:c>
      <x:c r="I52" s="17" t="str">
        <x:v>OBSERVE</x:v>
      </x:c>
      <x:c r="J52" s="17" t="str">
        <x:v>{"tokenMode":"active","passwordMode":"valid","emailMode":"valid","method":"POST","contentType":"application/json"}</x:v>
      </x:c>
      <x:c r="K52" s="17" t="str">
        <x:v>Review the generated database/source inspection evidence.</x:v>
      </x:c>
      <x:c r="L52" s="17" t="str">
        <x:v>PASS</x:v>
      </x:c>
      <x:c r="M52" s="17" t="str"/>
      <x:c r="N52" s="17" t="str">
        <x:v>NO</x:v>
      </x:c>
      <x:c r="O52" s="17" t="str"/>
    </x:row>
  </x:sheetData>
  <x:mergeCells>
    <x:mergeCell ref="A1:O2"/>
  </x:mergeCells>
  <x:conditionalFormatting sqref="D5:D52">
    <x:cfRule type="containsText" dxfId="0" priority="1" operator="containsText" text="INVALID"/>
    <x:cfRule type="containsText" dxfId="1" priority="2" operator="containsText" text="INCOMPLETE"/>
    <x:cfRule type="containsText" dxfId="2" priority="3" operator="containsText" text="STUDENT_ADDED"/>
  </x:conditionalFormatting>
  <x:conditionalFormatting sqref="L5:L52">
    <x:cfRule type="containsText" dxfId="3" priority="4" operator="containsText" text="PASS"/>
    <x:cfRule type="containsText" dxfId="4" priority="5" operator="containsText" text="FAIL"/>
  </x:conditionalFormatting>
  <x:conditionalFormatting sqref="N5:N52">
    <x:cfRule type="containsText" dxfId="5" priority="6" operator="containsText" text="NO"/>
  </x:conditionalFormatting>
  <x:dataValidations count="1">
    <x:dataValidation type="list" sqref="N5:N5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3219f9eb7c4b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5" hidden="0" customWidth="1"/>
    <x:col min="5" max="5" width="46" hidden="0" customWidth="1"/>
    <x:col min="6" max="6" width="20" hidden="0" customWidth="1"/>
    <x:col min="7" max="7" width="20" hidden="0" customWidth="1"/>
    <x:col min="8" max="8" width="12" hidden="0" customWidth="1"/>
    <x:col min="9" max="9" width="16" hidden="0" customWidth="1"/>
    <x:col min="10" max="10" width="45" hidden="0" customWidth="1"/>
    <x:col min="11" max="11" width="35" hidden="0" customWidth="1"/>
    <x:col min="12" max="12" width="12" hidden="0" customWidth="1"/>
    <x:col min="13" max="13" width="44" hidden="0" customWidth="1"/>
    <x:col min="14" max="14" width="16" hidden="0" customWidth="1"/>
    <x:col min="15" max="15" width="32" hidden="0" customWidth="1"/>
  </x:cols>
  <x:sheetData>
    <x:row r="1" ht="48" customHeight="1">
      <x:c r="A1" s="4" t="str">
        <x:v>POST /api/apply-coupon
49 canonical cases • official Newman result • X-Student-Id 23127373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4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4" ht="30" customHeight="1">
      <x:c r="A4" s="13" t="str">
        <x:v>Case_ID</x:v>
      </x:c>
      <x:c r="B4" s="14" t="str">
        <x:v>Title</x:v>
      </x:c>
      <x:c r="C4" s="14" t="str">
        <x:v>Origin</x:v>
      </x:c>
      <x:c r="D4" s="14" t="str">
        <x:v>Audit_Label</x:v>
      </x:c>
      <x:c r="E4" s="14" t="str">
        <x:v>Audit_Reason</x:v>
      </x:c>
      <x:c r="F4" s="14" t="str">
        <x:v>Requirement</x:v>
      </x:c>
      <x:c r="G4" s="14" t="str">
        <x:v>Technique</x:v>
      </x:c>
      <x:c r="H4" s="14" t="str">
        <x:v>Priority</x:v>
      </x:c>
      <x:c r="I4" s="14" t="str">
        <x:v>Oracle</x:v>
      </x:c>
      <x:c r="J4" s="14" t="str">
        <x:v>Input / mode</x:v>
      </x:c>
      <x:c r="K4" s="14" t="str">
        <x:v>Manual_Review</x:v>
      </x:c>
      <x:c r="L4" s="14" t="str">
        <x:v>Official_Result</x:v>
      </x:c>
      <x:c r="M4" s="14" t="str">
        <x:v>Official_Failures</x:v>
      </x:c>
      <x:c r="N4" s="14" t="str">
        <x:v>Human_Verified</x:v>
      </x:c>
      <x:c r="O4" s="15" t="str">
        <x:v>Reviewer_Notes</x:v>
      </x:c>
    </x:row>
    <x:row r="5" ht="42" customHeight="1">
      <x:c r="A5" s="17" t="str">
        <x:v>C-AI-01</x:v>
      </x:c>
      <x:c r="B5" s="17" t="str">
        <x:v>SAVE10 nominal percentage calculation</x:v>
      </x:c>
      <x:c r="C5" s="17" t="str">
        <x:v>Gemini Pro candidate</x:v>
      </x:c>
      <x:c r="D5" s="17" t="str">
        <x:v>INCOMPLETE</x:v>
      </x:c>
      <x:c r="E5" s="17" t="str">
        <x:v>Original AI oracle incorrectly claimed apply-coupon consumes usage; corrected to an idempotent calculation.</x:v>
      </x:c>
      <x:c r="F5" s="17" t="str">
        <x:v>FR-09 C1-C5</x:v>
      </x:c>
      <x:c r="G5" s="17" t="str">
        <x:v>Nominal</x:v>
      </x:c>
      <x:c r="H5" s="17" t="str">
        <x:v>High</x:v>
      </x:c>
      <x:c r="I5" s="17" t="str">
        <x:v>APPLY</x:v>
      </x:c>
      <x:c r="J5" s="17" t="str">
        <x:v>{"authMode":"valid","code":"SAVE10","codeMode":"value","total":500000,"totalMode":"value","userIdMode":"self","usageCount":0,"expectedDiscount":50000,"expectedFinal":450000}</x:v>
      </x:c>
      <x:c r="K5" s="17" t="str"/>
      <x:c r="L5" s="17" t="str">
        <x:v>FAIL</x:v>
      </x:c>
      <x:c r="M5" s="17" t="str">
        <x:v>discount_amount follows formula | final_amount follows formula</x:v>
      </x:c>
      <x:c r="N5" s="17" t="str">
        <x:v>NO</x:v>
      </x:c>
      <x:c r="O5" s="17" t="str"/>
    </x:row>
    <x:row r="6" ht="42" customHeight="1">
      <x:c r="A6" s="17" t="str">
        <x:v>C-AI-02</x:v>
      </x:c>
      <x:c r="B6" s="17" t="str">
        <x:v>Missing Authorization header</x:v>
      </x:c>
      <x:c r="C6" s="17" t="str">
        <x:v>Gemini Pro candidate</x:v>
      </x:c>
      <x:c r="D6" s="17" t="str">
        <x:v>VALID</x:v>
      </x:c>
      <x:c r="E6" s="17" t="str">
        <x:v>Traceable to the supplied requirement and has a usable oracle.</x:v>
      </x:c>
      <x:c r="F6" s="17" t="str">
        <x:v>C4,SEC-02</x:v>
      </x:c>
      <x:c r="G6" s="17" t="str">
        <x:v>Security</x:v>
      </x:c>
      <x:c r="H6" s="17" t="str">
        <x:v>High</x:v>
      </x:c>
      <x:c r="I6" s="17" t="str">
        <x:v>REJECT</x:v>
      </x:c>
      <x:c r="J6" s="17" t="str">
        <x:v>{"authMode":"missing","code":"SAVE10","codeMode":"value","total":500000,"totalMode":"value","userIdMode":"self","usageCount":0}</x:v>
      </x:c>
      <x:c r="K6" s="17" t="str"/>
      <x:c r="L6" s="17" t="str">
        <x:v>FAIL</x:v>
      </x:c>
      <x:c r="M6" s="17" t="str">
        <x:v>[C-AI-02] coupon is not applied</x:v>
      </x:c>
      <x:c r="N6" s="17" t="str">
        <x:v>NO</x:v>
      </x:c>
      <x:c r="O6" s="17" t="str"/>
    </x:row>
    <x:row r="7" ht="42" customHeight="1">
      <x:c r="A7" s="17" t="str">
        <x:v>C-AI-03</x:v>
      </x:c>
      <x:c r="B7" s="17" t="str">
        <x:v>Blank Bearer token</x:v>
      </x:c>
      <x:c r="C7" s="17" t="str">
        <x:v>Gemini Pro candidate</x:v>
      </x:c>
      <x:c r="D7" s="17" t="str">
        <x:v>VALID</x:v>
      </x:c>
      <x:c r="E7" s="17" t="str">
        <x:v>Traceable to the supplied requirement and has a usable oracle.</x:v>
      </x:c>
      <x:c r="F7" s="17" t="str">
        <x:v>C4,SEC-02</x:v>
      </x:c>
      <x:c r="G7" s="17" t="str">
        <x:v>Security</x:v>
      </x:c>
      <x:c r="H7" s="17" t="str">
        <x:v>Medium</x:v>
      </x:c>
      <x:c r="I7" s="17" t="str">
        <x:v>REJECT</x:v>
      </x:c>
      <x:c r="J7" s="17" t="str">
        <x:v>{"authMode":"blank","code":"SAVE10","codeMode":"value","total":500000,"totalMode":"value","userIdMode":"self","usageCount":0}</x:v>
      </x:c>
      <x:c r="K7" s="17" t="str"/>
      <x:c r="L7" s="17" t="str">
        <x:v>FAIL</x:v>
      </x:c>
      <x:c r="M7" s="17" t="str">
        <x:v>[C-AI-03] coupon is not applied</x:v>
      </x:c>
      <x:c r="N7" s="17" t="str">
        <x:v>NO</x:v>
      </x:c>
      <x:c r="O7" s="17" t="str"/>
    </x:row>
    <x:row r="8" ht="42" customHeight="1">
      <x:c r="A8" s="17" t="str">
        <x:v>C-AI-04</x:v>
      </x:c>
      <x:c r="B8" s="17" t="str">
        <x:v>Malformed JWT</x:v>
      </x:c>
      <x:c r="C8" s="17" t="str">
        <x:v>Gemini Pro candidate</x:v>
      </x:c>
      <x:c r="D8" s="17" t="str">
        <x:v>VALID</x:v>
      </x:c>
      <x:c r="E8" s="17" t="str">
        <x:v>Traceable to the supplied requirement and has a usable oracle.</x:v>
      </x:c>
      <x:c r="F8" s="17" t="str">
        <x:v>C4,SEC-02</x:v>
      </x:c>
      <x:c r="G8" s="17" t="str">
        <x:v>Security</x:v>
      </x:c>
      <x:c r="H8" s="17" t="str">
        <x:v>Medium</x:v>
      </x:c>
      <x:c r="I8" s="17" t="str">
        <x:v>REJECT</x:v>
      </x:c>
      <x:c r="J8" s="17" t="str">
        <x:v>{"authMode":"malformed","code":"SAVE10","codeMode":"value","total":500000,"totalMode":"value","userIdMode":"self","usageCount":0}</x:v>
      </x:c>
      <x:c r="K8" s="17" t="str"/>
      <x:c r="L8" s="17" t="str">
        <x:v>FAIL</x:v>
      </x:c>
      <x:c r="M8" s="17" t="str">
        <x:v>[C-AI-04] coupon is not applied</x:v>
      </x:c>
      <x:c r="N8" s="17" t="str">
        <x:v>NO</x:v>
      </x:c>
      <x:c r="O8" s="17" t="str"/>
    </x:row>
    <x:row r="9" ht="42" customHeight="1">
      <x:c r="A9" s="17" t="str">
        <x:v>C-AI-05</x:v>
      </x:c>
      <x:c r="B9" s="17" t="str">
        <x:v>JWT with invalid signature</x:v>
      </x:c>
      <x:c r="C9" s="17" t="str">
        <x:v>Gemini Pro candidate</x:v>
      </x:c>
      <x:c r="D9" s="17" t="str">
        <x:v>VALID</x:v>
      </x:c>
      <x:c r="E9" s="17" t="str">
        <x:v>Traceable to the supplied requirement and has a usable oracle.</x:v>
      </x:c>
      <x:c r="F9" s="17" t="str">
        <x:v>C4,SEC-02</x:v>
      </x:c>
      <x:c r="G9" s="17" t="str">
        <x:v>Security</x:v>
      </x:c>
      <x:c r="H9" s="17" t="str">
        <x:v>High</x:v>
      </x:c>
      <x:c r="I9" s="17" t="str">
        <x:v>REJECT</x:v>
      </x:c>
      <x:c r="J9" s="17" t="str">
        <x:v>{"authMode":"invalidSignature","code":"SAVE10","codeMode":"value","total":500000,"totalMode":"value","userIdMode":"self","usageCount":0}</x:v>
      </x:c>
      <x:c r="K9" s="17" t="str"/>
      <x:c r="L9" s="17" t="str">
        <x:v>FAIL</x:v>
      </x:c>
      <x:c r="M9" s="17" t="str">
        <x:v>[C-AI-05] coupon is not applied</x:v>
      </x:c>
      <x:c r="N9" s="17" t="str">
        <x:v>NO</x:v>
      </x:c>
      <x:c r="O9" s="17" t="str"/>
    </x:row>
    <x:row r="10" ht="42" customHeight="1">
      <x:c r="A10" s="17" t="str">
        <x:v>C-AI-06</x:v>
      </x:c>
      <x:c r="B10" s="17" t="str">
        <x:v>Expired JWT</x:v>
      </x:c>
      <x:c r="C10" s="17" t="str">
        <x:v>Gemini Pro candidate</x:v>
      </x:c>
      <x:c r="D10" s="17" t="str">
        <x:v>VALID</x:v>
      </x:c>
      <x:c r="E10" s="17" t="str">
        <x:v>Traceable to the supplied requirement and has a usable oracle.</x:v>
      </x:c>
      <x:c r="F10" s="17" t="str">
        <x:v>C4,SEC-02</x:v>
      </x:c>
      <x:c r="G10" s="17" t="str">
        <x:v>Security</x:v>
      </x:c>
      <x:c r="H10" s="17" t="str">
        <x:v>High</x:v>
      </x:c>
      <x:c r="I10" s="17" t="str">
        <x:v>REJECT</x:v>
      </x:c>
      <x:c r="J10" s="17" t="str">
        <x:v>{"authMode":"expired","code":"SAVE10","codeMode":"value","total":500000,"totalMode":"value","userIdMode":"self","usageCount":0}</x:v>
      </x:c>
      <x:c r="K10" s="17" t="str"/>
      <x:c r="L10" s="17" t="str">
        <x:v>FAIL</x:v>
      </x:c>
      <x:c r="M10" s="17" t="str">
        <x:v>[C-AI-06] coupon is not applied</x:v>
      </x:c>
      <x:c r="N10" s="17" t="str">
        <x:v>NO</x:v>
      </x:c>
      <x:c r="O10" s="17" t="str"/>
    </x:row>
    <x:row r="11" ht="42" customHeight="1">
      <x:c r="A11" s="17" t="str">
        <x:v>C-AI-07</x:v>
      </x:c>
      <x:c r="B11" s="17" t="str">
        <x:v>Missing body user_id with valid JWT</x:v>
      </x:c>
      <x:c r="C11" s="17" t="str">
        <x:v>Gemini Pro candidate</x:v>
      </x:c>
      <x:c r="D11" s="17" t="str">
        <x:v>INCOMPLETE</x:v>
      </x:c>
      <x:c r="E11" s="17" t="str">
        <x:v>Rejecting or using the JWT identity are both defensible.</x:v>
      </x:c>
      <x:c r="F11" s="17" t="str">
        <x:v>C4,Trust boundary</x:v>
      </x:c>
      <x:c r="G11" s="17" t="str">
        <x:v>EP</x:v>
      </x:c>
      <x:c r="H11" s="17" t="str">
        <x:v>Medium</x:v>
      </x:c>
      <x:c r="I11" s="17" t="str">
        <x:v>OBSERVE</x:v>
      </x:c>
      <x:c r="J11" s="17" t="str">
        <x:v>{"authMode":"valid","code":"SAVE10","codeMode":"value","total":500000,"totalMode":"value","userIdMode":"missing","usageCount":0}</x:v>
      </x:c>
      <x:c r="K11" s="17" t="str"/>
      <x:c r="L11" s="17" t="str">
        <x:v>PASS</x:v>
      </x:c>
      <x:c r="M11" s="17" t="str"/>
      <x:c r="N11" s="17" t="str">
        <x:v>NO</x:v>
      </x:c>
      <x:c r="O11" s="17" t="str"/>
    </x:row>
    <x:row r="12" ht="42" customHeight="1">
      <x:c r="A12" s="17" t="str">
        <x:v>C-AI-08</x:v>
      </x:c>
      <x:c r="B12" s="17" t="str">
        <x:v>JWT user A with body user B</x:v>
      </x:c>
      <x:c r="C12" s="17" t="str">
        <x:v>Gemini Pro candidate</x:v>
      </x:c>
      <x:c r="D12" s="17" t="str">
        <x:v>VALID</x:v>
      </x:c>
      <x:c r="E12" s="17" t="str">
        <x:v>Traceable to the supplied requirement and has a usable oracle.</x:v>
      </x:c>
      <x:c r="F12" s="17" t="str">
        <x:v>C5,Trust boundary</x:v>
      </x:c>
      <x:c r="G12" s="17" t="str">
        <x:v>IDOR</x:v>
      </x:c>
      <x:c r="H12" s="17" t="str">
        <x:v>High</x:v>
      </x:c>
      <x:c r="I12" s="17" t="str">
        <x:v>SAFE_IDENTITY</x:v>
      </x:c>
      <x:c r="J12" s="17" t="str">
        <x:v>{"authMode":"valid","code":"SAVE10","codeMode":"value","total":500000,"totalMode":"value","userIdMode":"other","usageCount":0}</x:v>
      </x:c>
      <x:c r="K12" s="17" t="str"/>
      <x:c r="L12" s="17" t="str">
        <x:v>PASS</x:v>
      </x:c>
      <x:c r="M12" s="17" t="str"/>
      <x:c r="N12" s="17" t="str">
        <x:v>NO</x:v>
      </x:c>
      <x:c r="O12" s="17" t="str"/>
    </x:row>
    <x:row r="13" ht="42" customHeight="1">
      <x:c r="A13" s="17" t="str">
        <x:v>C-AI-09</x:v>
      </x:c>
      <x:c r="B13" s="17" t="str">
        <x:v>Maxed JWT user cannot bypass usage via body user_id</x:v>
      </x:c>
      <x:c r="C13" s="17" t="str">
        <x:v>Gemini Pro candidate</x:v>
      </x:c>
      <x:c r="D13" s="17" t="str">
        <x:v>VALID</x:v>
      </x:c>
      <x:c r="E13" s="17" t="str">
        <x:v>Traceable to the supplied requirement and has a usable oracle.</x:v>
      </x:c>
      <x:c r="F13" s="17" t="str">
        <x:v>C5,Trust boundary</x:v>
      </x:c>
      <x:c r="G13" s="17" t="str">
        <x:v>IDOR</x:v>
      </x:c>
      <x:c r="H13" s="17" t="str">
        <x:v>High</x:v>
      </x:c>
      <x:c r="I13" s="17" t="str">
        <x:v>REJECT</x:v>
      </x:c>
      <x:c r="J13" s="17" t="str">
        <x:v>{"authMode":"valid","code":"SAVE10","codeMode":"value","total":500000,"totalMode":"value","userIdMode":"other","usageCount":1}</x:v>
      </x:c>
      <x:c r="K13" s="17" t="str"/>
      <x:c r="L13" s="17" t="str">
        <x:v>FAIL</x:v>
      </x:c>
      <x:c r="M13" s="17" t="str">
        <x:v>[C-AI-09] coupon is not applied</x:v>
      </x:c>
      <x:c r="N13" s="17" t="str">
        <x:v>NO</x:v>
      </x:c>
      <x:c r="O13" s="17" t="str"/>
    </x:row>
    <x:row r="14" ht="42" customHeight="1">
      <x:c r="A14" s="17" t="str">
        <x:v>C-AI-10</x:v>
      </x:c>
      <x:c r="B14" s="17" t="str">
        <x:v>BIGBUY fixed discount</x:v>
      </x:c>
      <x:c r="C14" s="17" t="str">
        <x:v>Gemini Pro candidate</x:v>
      </x:c>
      <x:c r="D14" s="17" t="str">
        <x:v>VALID</x:v>
      </x:c>
      <x:c r="E14" s="17" t="str">
        <x:v>Traceable to the supplied requirement and has a usable oracle.</x:v>
      </x:c>
      <x:c r="F14" s="17" t="str">
        <x:v>FR-09 Formula</x:v>
      </x:c>
      <x:c r="G14" s="17" t="str">
        <x:v>Nominal</x:v>
      </x:c>
      <x:c r="H14" s="17" t="str">
        <x:v>Medium</x:v>
      </x:c>
      <x:c r="I14" s="17" t="str">
        <x:v>APPLY</x:v>
      </x:c>
      <x:c r="J14" s="17" t="str">
        <x:v>{"authMode":"valid","code":"BIGBUY","codeMode":"value","total":600000,"totalMode":"value","userIdMode":"self","usageCount":0,"expectedDiscount":50000,"expectedFinal":550000}</x:v>
      </x:c>
      <x:c r="K14" s="17" t="str"/>
      <x:c r="L14" s="17" t="str">
        <x:v>PASS</x:v>
      </x:c>
      <x:c r="M14" s="17" t="str"/>
      <x:c r="N14" s="17" t="str">
        <x:v>NO</x:v>
      </x:c>
      <x:c r="O14" s="17" t="str"/>
    </x:row>
    <x:row r="15" ht="42" customHeight="1">
      <x:c r="A15" s="17" t="str">
        <x:v>C-AI-11</x:v>
      </x:c>
      <x:c r="B15" s="17" t="str">
        <x:v>Nonexistent coupon code</x:v>
      </x:c>
      <x:c r="C15" s="17" t="str">
        <x:v>Gemini Pro candidate</x:v>
      </x:c>
      <x:c r="D15" s="17" t="str">
        <x:v>VALID</x:v>
      </x:c>
      <x:c r="E15" s="17" t="str">
        <x:v>Traceable to the supplied requirement and has a usable oracle.</x:v>
      </x:c>
      <x:c r="F15" s="17" t="str">
        <x:v>C1</x:v>
      </x:c>
      <x:c r="G15" s="17" t="str">
        <x:v>EP</x:v>
      </x:c>
      <x:c r="H15" s="17" t="str">
        <x:v>Medium</x:v>
      </x:c>
      <x:c r="I15" s="17" t="str">
        <x:v>REJECT</x:v>
      </x:c>
      <x:c r="J15" s="17" t="str">
        <x:v>{"authMode":"valid","code":"FAKE50","codeMode":"value","total":500000,"totalMode":"value","userIdMode":"self","usageCount":0}</x:v>
      </x:c>
      <x:c r="K15" s="17" t="str"/>
      <x:c r="L15" s="17" t="str">
        <x:v>PASS</x:v>
      </x:c>
      <x:c r="M15" s="17" t="str"/>
      <x:c r="N15" s="17" t="str">
        <x:v>NO</x:v>
      </x:c>
      <x:c r="O15" s="17" t="str"/>
    </x:row>
    <x:row r="16" ht="42" customHeight="1">
      <x:c r="A16" s="17" t="str">
        <x:v>C-AI-12</x:v>
      </x:c>
      <x:c r="B16" s="17" t="str">
        <x:v>Expired coupon</x:v>
      </x:c>
      <x:c r="C16" s="17" t="str">
        <x:v>Gemini Pro candidate</x:v>
      </x:c>
      <x:c r="D16" s="17" t="str">
        <x:v>VALID</x:v>
      </x:c>
      <x:c r="E16" s="17" t="str">
        <x:v>Traceable to the supplied requirement and has a usable oracle.</x:v>
      </x:c>
      <x:c r="F16" s="17" t="str">
        <x:v>C2</x:v>
      </x:c>
      <x:c r="G16" s="17" t="str">
        <x:v>BVA</x:v>
      </x:c>
      <x:c r="H16" s="17" t="str">
        <x:v>Medium</x:v>
      </x:c>
      <x:c r="I16" s="17" t="str">
        <x:v>REJECT</x:v>
      </x:c>
      <x:c r="J16" s="17" t="str">
        <x:v>{"authMode":"valid","code":"EXPIRED","codeMode":"value","total":200000,"totalMode":"value","userIdMode":"self","usageCount":0}</x:v>
      </x:c>
      <x:c r="K16" s="17" t="str"/>
      <x:c r="L16" s="17" t="str">
        <x:v>PASS</x:v>
      </x:c>
      <x:c r="M16" s="17" t="str"/>
      <x:c r="N16" s="17" t="str">
        <x:v>NO</x:v>
      </x:c>
      <x:c r="O16" s="17" t="str"/>
    </x:row>
    <x:row r="17" ht="42" customHeight="1">
      <x:c r="A17" s="17" t="str">
        <x:v>C-AI-13</x:v>
      </x:c>
      <x:c r="B17" s="17" t="str">
        <x:v>Inactive coupon</x:v>
      </x:c>
      <x:c r="C17" s="17" t="str">
        <x:v>Gemini Pro candidate</x:v>
      </x:c>
      <x:c r="D17" s="17" t="str">
        <x:v>VALID</x:v>
      </x:c>
      <x:c r="E17" s="17" t="str">
        <x:v>Traceable to the supplied requirement and has a usable oracle.</x:v>
      </x:c>
      <x:c r="F17" s="17" t="str">
        <x:v>C1</x:v>
      </x:c>
      <x:c r="G17" s="17" t="str">
        <x:v>EP</x:v>
      </x:c>
      <x:c r="H17" s="17" t="str">
        <x:v>Medium</x:v>
      </x:c>
      <x:c r="I17" s="17" t="str">
        <x:v>REJECT</x:v>
      </x:c>
      <x:c r="J17" s="17" t="str">
        <x:v>{"authMode":"valid","code":"INACTIVE10","codeMode":"value","total":500000,"totalMode":"value","userIdMode":"self","usageCount":0,"seedCoupon":"inactive"}</x:v>
      </x:c>
      <x:c r="K17" s="17" t="str"/>
      <x:c r="L17" s="17" t="str">
        <x:v>PASS</x:v>
      </x:c>
      <x:c r="M17" s="17" t="str"/>
      <x:c r="N17" s="17" t="str">
        <x:v>NO</x:v>
      </x:c>
      <x:c r="O17" s="17" t="str"/>
    </x:row>
    <x:row r="18" ht="42" customHeight="1">
      <x:c r="A18" s="17" t="str">
        <x:v>C-AI-14</x:v>
      </x:c>
      <x:c r="B18" s="17" t="str">
        <x:v>Coupon code case sensitivity</x:v>
      </x:c>
      <x:c r="C18" s="17" t="str">
        <x:v>Gemini Pro candidate</x:v>
      </x:c>
      <x:c r="D18" s="17" t="str">
        <x:v>INCOMPLETE</x:v>
      </x:c>
      <x:c r="E18" s="17" t="str">
        <x:v>Code normalization is unspecified.</x:v>
      </x:c>
      <x:c r="F18" s="17" t="str">
        <x:v>C1</x:v>
      </x:c>
      <x:c r="G18" s="17" t="str">
        <x:v>Robustness</x:v>
      </x:c>
      <x:c r="H18" s="17" t="str">
        <x:v>Medium</x:v>
      </x:c>
      <x:c r="I18" s="17" t="str">
        <x:v>OBSERVE</x:v>
      </x:c>
      <x:c r="J18" s="17" t="str">
        <x:v>{"authMode":"valid","code":"save10","codeMode":"value","total":500000,"totalMode":"value","userIdMode":"self","usageCount":0}</x:v>
      </x:c>
      <x:c r="K18" s="17" t="str"/>
      <x:c r="L18" s="17" t="str">
        <x:v>PASS</x:v>
      </x:c>
      <x:c r="M18" s="17" t="str"/>
      <x:c r="N18" s="17" t="str">
        <x:v>NO</x:v>
      </x:c>
      <x:c r="O18" s="17" t="str"/>
    </x:row>
    <x:row r="19" ht="42" customHeight="1">
      <x:c r="A19" s="17" t="str">
        <x:v>C-AI-15</x:v>
      </x:c>
      <x:c r="B19" s="17" t="str">
        <x:v>Empty coupon code</x:v>
      </x:c>
      <x:c r="C19" s="17" t="str">
        <x:v>Gemini Pro candidate</x:v>
      </x:c>
      <x:c r="D19" s="17" t="str">
        <x:v>VALID</x:v>
      </x:c>
      <x:c r="E19" s="17" t="str">
        <x:v>Traceable to the supplied requirement and has a usable oracle.</x:v>
      </x:c>
      <x:c r="F19" s="17" t="str">
        <x:v>C1</x:v>
      </x:c>
      <x:c r="G19" s="17" t="str">
        <x:v>BVA</x:v>
      </x:c>
      <x:c r="H19" s="17" t="str">
        <x:v>Medium</x:v>
      </x:c>
      <x:c r="I19" s="17" t="str">
        <x:v>REJECT</x:v>
      </x:c>
      <x:c r="J19" s="17" t="str">
        <x:v>{"authMode":"valid","code":"","codeMode":"value","total":500000,"totalMode":"value","userIdMode":"self","usageCount":0}</x:v>
      </x:c>
      <x:c r="K19" s="17" t="str"/>
      <x:c r="L19" s="17" t="str">
        <x:v>PASS</x:v>
      </x:c>
      <x:c r="M19" s="17" t="str"/>
      <x:c r="N19" s="17" t="str">
        <x:v>NO</x:v>
      </x:c>
      <x:c r="O19" s="17" t="str"/>
    </x:row>
    <x:row r="20" ht="42" customHeight="1">
      <x:c r="A20" s="17" t="str">
        <x:v>C-AI-16</x:v>
      </x:c>
      <x:c r="B20" s="17" t="str">
        <x:v>Null coupon code</x:v>
      </x:c>
      <x:c r="C20" s="17" t="str">
        <x:v>Gemini Pro candidate</x:v>
      </x:c>
      <x:c r="D20" s="17" t="str">
        <x:v>VALID</x:v>
      </x:c>
      <x:c r="E20" s="17" t="str">
        <x:v>Traceable to the supplied requirement and has a usable oracle.</x:v>
      </x:c>
      <x:c r="F20" s="17" t="str">
        <x:v>Schema</x:v>
      </x:c>
      <x:c r="G20" s="17" t="str">
        <x:v>Negative</x:v>
      </x:c>
      <x:c r="H20" s="17" t="str">
        <x:v>Medium</x:v>
      </x:c>
      <x:c r="I20" s="17" t="str">
        <x:v>REJECT</x:v>
      </x:c>
      <x:c r="J20" s="17" t="str">
        <x:v>{"authMode":"valid","code":"SAVE10","codeMode":"null","total":500000,"totalMode":"value","userIdMode":"self","usageCount":0}</x:v>
      </x:c>
      <x:c r="K20" s="17" t="str"/>
      <x:c r="L20" s="17" t="str">
        <x:v>PASS</x:v>
      </x:c>
      <x:c r="M20" s="17" t="str"/>
      <x:c r="N20" s="17" t="str">
        <x:v>NO</x:v>
      </x:c>
      <x:c r="O20" s="17" t="str"/>
    </x:row>
    <x:row r="21" ht="42" customHeight="1">
      <x:c r="A21" s="17" t="str">
        <x:v>C-AI-17</x:v>
      </x:c>
      <x:c r="B21" s="17" t="str">
        <x:v>Missing coupon code</x:v>
      </x:c>
      <x:c r="C21" s="17" t="str">
        <x:v>Gemini Pro candidate</x:v>
      </x:c>
      <x:c r="D21" s="17" t="str">
        <x:v>VALID</x:v>
      </x:c>
      <x:c r="E21" s="17" t="str">
        <x:v>Traceable to the supplied requirement and has a usable oracle.</x:v>
      </x:c>
      <x:c r="F21" s="17" t="str">
        <x:v>Schema</x:v>
      </x:c>
      <x:c r="G21" s="17" t="str">
        <x:v>Negative</x:v>
      </x:c>
      <x:c r="H21" s="17" t="str">
        <x:v>Medium</x:v>
      </x:c>
      <x:c r="I21" s="17" t="str">
        <x:v>REJECT</x:v>
      </x:c>
      <x:c r="J21" s="17" t="str">
        <x:v>{"authMode":"valid","code":"SAVE10","codeMode":"missing","total":500000,"totalMode":"value","userIdMode":"self","usageCount":0}</x:v>
      </x:c>
      <x:c r="K21" s="17" t="str"/>
      <x:c r="L21" s="17" t="str">
        <x:v>PASS</x:v>
      </x:c>
      <x:c r="M21" s="17" t="str"/>
      <x:c r="N21" s="17" t="str">
        <x:v>NO</x:v>
      </x:c>
      <x:c r="O21" s="17" t="str"/>
    </x:row>
    <x:row r="22" ht="42" customHeight="1">
      <x:c r="A22" s="17" t="str">
        <x:v>C-AI-18</x:v>
      </x:c>
      <x:c r="B22" s="17" t="str">
        <x:v>SAVE10 exact minimum</x:v>
      </x:c>
      <x:c r="C22" s="17" t="str">
        <x:v>Gemini Pro candidate</x:v>
      </x:c>
      <x:c r="D22" s="17" t="str">
        <x:v>VALID</x:v>
      </x:c>
      <x:c r="E22" s="17" t="str">
        <x:v>Traceable to the supplied requirement and has a usable oracle.</x:v>
      </x:c>
      <x:c r="F22" s="17" t="str">
        <x:v>C3,Formula</x:v>
      </x:c>
      <x:c r="G22" s="17" t="str">
        <x:v>BVA</x:v>
      </x:c>
      <x:c r="H22" s="17" t="str">
        <x:v>High</x:v>
      </x:c>
      <x:c r="I22" s="17" t="str">
        <x:v>APPLY</x:v>
      </x:c>
      <x:c r="J22" s="17" t="str">
        <x:v>{"authMode":"valid","code":"SAVE10","codeMode":"value","total":300000,"totalMode":"value","userIdMode":"self","usageCount":0,"expectedDiscount":30000,"expectedFinal":270000}</x:v>
      </x:c>
      <x:c r="K22" s="17" t="str"/>
      <x:c r="L22" s="17" t="str">
        <x:v>FAIL</x:v>
      </x:c>
      <x:c r="M22" s="17" t="str">
        <x:v>[C-AI-18] coupon applies | Required numeric success fields exist | discount_amount follows formula | final_amount follows formula | Core formula invariant</x:v>
      </x:c>
      <x:c r="N22" s="17" t="str">
        <x:v>NO</x:v>
      </x:c>
      <x:c r="O22" s="17" t="str"/>
    </x:row>
    <x:row r="23" ht="42" customHeight="1">
      <x:c r="A23" s="17" t="str">
        <x:v>C-AI-19</x:v>
      </x:c>
      <x:c r="B23" s="17" t="str">
        <x:v>SAVE10 minimum plus one</x:v>
      </x:c>
      <x:c r="C23" s="17" t="str">
        <x:v>Gemini Pro candidate</x:v>
      </x:c>
      <x:c r="D23" s="17" t="str">
        <x:v>VALID</x:v>
      </x:c>
      <x:c r="E23" s="17" t="str">
        <x:v>Traceable to the supplied requirement and has a usable oracle.</x:v>
      </x:c>
      <x:c r="F23" s="17" t="str">
        <x:v>C3,Formula</x:v>
      </x:c>
      <x:c r="G23" s="17" t="str">
        <x:v>BVA</x:v>
      </x:c>
      <x:c r="H23" s="17" t="str">
        <x:v>Medium</x:v>
      </x:c>
      <x:c r="I23" s="17" t="str">
        <x:v>APPLY</x:v>
      </x:c>
      <x:c r="J23" s="17" t="str">
        <x:v>{"authMode":"valid","code":"SAVE10","codeMode":"value","total":300001,"totalMode":"value","userIdMode":"self","usageCount":0,"expectedDiscount":30000.1,"expectedFinal":270000.9}</x:v>
      </x:c>
      <x:c r="K23" s="17" t="str"/>
      <x:c r="L23" s="17" t="str">
        <x:v>FAIL</x:v>
      </x:c>
      <x:c r="M23" s="17" t="str">
        <x:v>discount_amount follows formula | final_amount follows formula</x:v>
      </x:c>
      <x:c r="N23" s="17" t="str">
        <x:v>NO</x:v>
      </x:c>
      <x:c r="O23" s="17" t="str"/>
    </x:row>
    <x:row r="24" ht="42" customHeight="1">
      <x:c r="A24" s="17" t="str">
        <x:v>C-AI-20</x:v>
      </x:c>
      <x:c r="B24" s="17" t="str">
        <x:v>SAVE10 minimum minus one</x:v>
      </x:c>
      <x:c r="C24" s="17" t="str">
        <x:v>Gemini Pro candidate</x:v>
      </x:c>
      <x:c r="D24" s="17" t="str">
        <x:v>VALID</x:v>
      </x:c>
      <x:c r="E24" s="17" t="str">
        <x:v>Traceable to the supplied requirement and has a usable oracle.</x:v>
      </x:c>
      <x:c r="F24" s="17" t="str">
        <x:v>C3</x:v>
      </x:c>
      <x:c r="G24" s="17" t="str">
        <x:v>BVA</x:v>
      </x:c>
      <x:c r="H24" s="17" t="str">
        <x:v>High</x:v>
      </x:c>
      <x:c r="I24" s="17" t="str">
        <x:v>REJECT</x:v>
      </x:c>
      <x:c r="J24" s="17" t="str">
        <x:v>{"authMode":"valid","code":"SAVE10","codeMode":"value","total":299999,"totalMode":"value","userIdMode":"self","usageCount":0}</x:v>
      </x:c>
      <x:c r="K24" s="17" t="str"/>
      <x:c r="L24" s="17" t="str">
        <x:v>PASS</x:v>
      </x:c>
      <x:c r="M24" s="17" t="str"/>
      <x:c r="N24" s="17" t="str">
        <x:v>NO</x:v>
      </x:c>
      <x:c r="O24" s="17" t="str"/>
    </x:row>
    <x:row r="25" ht="42" customHeight="1">
      <x:c r="A25" s="17" t="str">
        <x:v>C-AI-21</x:v>
      </x:c>
      <x:c r="B25" s="17" t="str">
        <x:v>BIGBUY exact minimum</x:v>
      </x:c>
      <x:c r="C25" s="17" t="str">
        <x:v>Gemini Pro candidate</x:v>
      </x:c>
      <x:c r="D25" s="17" t="str">
        <x:v>VALID</x:v>
      </x:c>
      <x:c r="E25" s="17" t="str">
        <x:v>Traceable to the supplied requirement and has a usable oracle.</x:v>
      </x:c>
      <x:c r="F25" s="17" t="str">
        <x:v>C3,Formula</x:v>
      </x:c>
      <x:c r="G25" s="17" t="str">
        <x:v>BVA</x:v>
      </x:c>
      <x:c r="H25" s="17" t="str">
        <x:v>Medium</x:v>
      </x:c>
      <x:c r="I25" s="17" t="str">
        <x:v>APPLY</x:v>
      </x:c>
      <x:c r="J25" s="17" t="str">
        <x:v>{"authMode":"valid","code":"BIGBUY","codeMode":"value","total":500000,"totalMode":"value","userIdMode":"self","usageCount":0,"expectedDiscount":50000,"expectedFinal":450000}</x:v>
      </x:c>
      <x:c r="K25" s="17" t="str"/>
      <x:c r="L25" s="17" t="str">
        <x:v>FAIL</x:v>
      </x:c>
      <x:c r="M25" s="17" t="str">
        <x:v>[C-AI-21] coupon applies | Required numeric success fields exist | discount_amount follows formula | final_amount follows formula | Core formula invariant</x:v>
      </x:c>
      <x:c r="N25" s="17" t="str">
        <x:v>NO</x:v>
      </x:c>
      <x:c r="O25" s="17" t="str"/>
    </x:row>
    <x:row r="26" ht="42" customHeight="1">
      <x:c r="A26" s="17" t="str">
        <x:v>C-AI-22</x:v>
      </x:c>
      <x:c r="B26" s="17" t="str">
        <x:v>VIP100 exact minimum</x:v>
      </x:c>
      <x:c r="C26" s="17" t="str">
        <x:v>Gemini Pro candidate</x:v>
      </x:c>
      <x:c r="D26" s="17" t="str">
        <x:v>VALID</x:v>
      </x:c>
      <x:c r="E26" s="17" t="str">
        <x:v>Traceable to the supplied requirement and has a usable oracle.</x:v>
      </x:c>
      <x:c r="F26" s="17" t="str">
        <x:v>C3,Formula</x:v>
      </x:c>
      <x:c r="G26" s="17" t="str">
        <x:v>BVA</x:v>
      </x:c>
      <x:c r="H26" s="17" t="str">
        <x:v>Medium</x:v>
      </x:c>
      <x:c r="I26" s="17" t="str">
        <x:v>APPLY</x:v>
      </x:c>
      <x:c r="J26" s="17" t="str">
        <x:v>{"authMode":"valid","code":"VIP100","codeMode":"value","total":300000,"totalMode":"value","userIdMode":"self","usageCount":0,"expectedDiscount":100000,"expectedFinal":200000}</x:v>
      </x:c>
      <x:c r="K26" s="17" t="str"/>
      <x:c r="L26" s="17" t="str">
        <x:v>FAIL</x:v>
      </x:c>
      <x:c r="M26" s="17" t="str">
        <x:v>[C-AI-22] coupon applies | Required numeric success fields exist | discount_amount follows formula | final_amount follows formula | Core formula invariant</x:v>
      </x:c>
      <x:c r="N26" s="17" t="str">
        <x:v>NO</x:v>
      </x:c>
      <x:c r="O26" s="17" t="str"/>
    </x:row>
    <x:row r="27" ht="42" customHeight="1">
      <x:c r="A27" s="17" t="str">
        <x:v>C-AI-23</x:v>
      </x:c>
      <x:c r="B27" s="17" t="str">
        <x:v>Fractional total_amount</x:v>
      </x:c>
      <x:c r="C27" s="17" t="str">
        <x:v>Gemini Pro candidate</x:v>
      </x:c>
      <x:c r="D27" s="17" t="str">
        <x:v>INCOMPLETE</x:v>
      </x:c>
      <x:c r="E27" s="17" t="str">
        <x:v>Currency rounding is unspecified.</x:v>
      </x:c>
      <x:c r="F27" s="17" t="str">
        <x:v>Formula</x:v>
      </x:c>
      <x:c r="G27" s="17" t="str">
        <x:v>Robustness</x:v>
      </x:c>
      <x:c r="H27" s="17" t="str">
        <x:v>Medium</x:v>
      </x:c>
      <x:c r="I27" s="17" t="str">
        <x:v>OBSERVE</x:v>
      </x:c>
      <x:c r="J27" s="17" t="str">
        <x:v>{"authMode":"valid","code":"SAVE10","codeMode":"value","total":500000.55,"totalMode":"value","userIdMode":"self","usageCount":0}</x:v>
      </x:c>
      <x:c r="K27" s="17" t="str"/>
      <x:c r="L27" s="17" t="str">
        <x:v>PASS</x:v>
      </x:c>
      <x:c r="M27" s="17" t="str"/>
      <x:c r="N27" s="17" t="str">
        <x:v>NO</x:v>
      </x:c>
      <x:c r="O27" s="17" t="str"/>
    </x:row>
    <x:row r="28" ht="42" customHeight="1">
      <x:c r="A28" s="17" t="str">
        <x:v>C-AI-24</x:v>
      </x:c>
      <x:c r="B28" s="17" t="str">
        <x:v>Zero total_amount</x:v>
      </x:c>
      <x:c r="C28" s="17" t="str">
        <x:v>Gemini Pro candidate</x:v>
      </x:c>
      <x:c r="D28" s="17" t="str">
        <x:v>VALID</x:v>
      </x:c>
      <x:c r="E28" s="17" t="str">
        <x:v>Traceable to the supplied requirement and has a usable oracle.</x:v>
      </x:c>
      <x:c r="F28" s="17" t="str">
        <x:v>C3</x:v>
      </x:c>
      <x:c r="G28" s="17" t="str">
        <x:v>BVA</x:v>
      </x:c>
      <x:c r="H28" s="17" t="str">
        <x:v>Medium</x:v>
      </x:c>
      <x:c r="I28" s="17" t="str">
        <x:v>REJECT</x:v>
      </x:c>
      <x:c r="J28" s="17" t="str">
        <x:v>{"authMode":"valid","code":"SAVE10","codeMode":"value","total":0,"totalMode":"value","userIdMode":"self","usageCount":0}</x:v>
      </x:c>
      <x:c r="K28" s="17" t="str"/>
      <x:c r="L28" s="17" t="str">
        <x:v>PASS</x:v>
      </x:c>
      <x:c r="M28" s="17" t="str"/>
      <x:c r="N28" s="17" t="str">
        <x:v>NO</x:v>
      </x:c>
      <x:c r="O28" s="17" t="str"/>
    </x:row>
    <x:row r="29" ht="42" customHeight="1">
      <x:c r="A29" s="17" t="str">
        <x:v>C-AI-25</x:v>
      </x:c>
      <x:c r="B29" s="17" t="str">
        <x:v>Negative total_amount</x:v>
      </x:c>
      <x:c r="C29" s="17" t="str">
        <x:v>Gemini Pro candidate</x:v>
      </x:c>
      <x:c r="D29" s="17" t="str">
        <x:v>VALID</x:v>
      </x:c>
      <x:c r="E29" s="17" t="str">
        <x:v>Traceable to the supplied requirement and has a usable oracle.</x:v>
      </x:c>
      <x:c r="F29" s="17" t="str">
        <x:v>C3</x:v>
      </x:c>
      <x:c r="G29" s="17" t="str">
        <x:v>EP</x:v>
      </x:c>
      <x:c r="H29" s="17" t="str">
        <x:v>Medium</x:v>
      </x:c>
      <x:c r="I29" s="17" t="str">
        <x:v>REJECT</x:v>
      </x:c>
      <x:c r="J29" s="17" t="str">
        <x:v>{"authMode":"valid","code":"SAVE10","codeMode":"value","total":-50000,"totalMode":"value","userIdMode":"self","usageCount":0}</x:v>
      </x:c>
      <x:c r="K29" s="17" t="str"/>
      <x:c r="L29" s="17" t="str">
        <x:v>PASS</x:v>
      </x:c>
      <x:c r="M29" s="17" t="str"/>
      <x:c r="N29" s="17" t="str">
        <x:v>NO</x:v>
      </x:c>
      <x:c r="O29" s="17" t="str"/>
    </x:row>
    <x:row r="30" ht="42" customHeight="1">
      <x:c r="A30" s="17" t="str">
        <x:v>C-AI-26</x:v>
      </x:c>
      <x:c r="B30" s="17" t="str">
        <x:v>Missing total_amount</x:v>
      </x:c>
      <x:c r="C30" s="17" t="str">
        <x:v>Gemini Pro candidate</x:v>
      </x:c>
      <x:c r="D30" s="17" t="str">
        <x:v>VALID</x:v>
      </x:c>
      <x:c r="E30" s="17" t="str">
        <x:v>Traceable to the supplied requirement and has a usable oracle.</x:v>
      </x:c>
      <x:c r="F30" s="17" t="str">
        <x:v>Schema,C3</x:v>
      </x:c>
      <x:c r="G30" s="17" t="str">
        <x:v>Negative</x:v>
      </x:c>
      <x:c r="H30" s="17" t="str">
        <x:v>Medium</x:v>
      </x:c>
      <x:c r="I30" s="17" t="str">
        <x:v>REJECT</x:v>
      </x:c>
      <x:c r="J30" s="17" t="str">
        <x:v>{"authMode":"valid","code":"SAVE10","codeMode":"value","total":500000,"totalMode":"missing","userIdMode":"self","usageCount":0}</x:v>
      </x:c>
      <x:c r="K30" s="17" t="str"/>
      <x:c r="L30" s="17" t="str">
        <x:v>PASS</x:v>
      </x:c>
      <x:c r="M30" s="17" t="str"/>
      <x:c r="N30" s="17" t="str">
        <x:v>NO</x:v>
      </x:c>
      <x:c r="O30" s="17" t="str"/>
    </x:row>
    <x:row r="31" ht="42" customHeight="1">
      <x:c r="A31" s="17" t="str">
        <x:v>C-AI-27</x:v>
      </x:c>
      <x:c r="B31" s="17" t="str">
        <x:v>String total_amount</x:v>
      </x:c>
      <x:c r="C31" s="17" t="str">
        <x:v>Gemini Pro candidate</x:v>
      </x:c>
      <x:c r="D31" s="17" t="str">
        <x:v>INCOMPLETE</x:v>
      </x:c>
      <x:c r="E31" s="17" t="str">
        <x:v>JSON type coercion is unspecified.</x:v>
      </x:c>
      <x:c r="F31" s="17" t="str">
        <x:v>Schema</x:v>
      </x:c>
      <x:c r="G31" s="17" t="str">
        <x:v>Robustness</x:v>
      </x:c>
      <x:c r="H31" s="17" t="str">
        <x:v>Medium</x:v>
      </x:c>
      <x:c r="I31" s="17" t="str">
        <x:v>OBSERVE</x:v>
      </x:c>
      <x:c r="J31" s="17" t="str">
        <x:v>{"authMode":"valid","code":"SAVE10","codeMode":"value","total":500000,"totalMode":"string","userIdMode":"self","usageCount":0}</x:v>
      </x:c>
      <x:c r="K31" s="17" t="str"/>
      <x:c r="L31" s="17" t="str">
        <x:v>PASS</x:v>
      </x:c>
      <x:c r="M31" s="17" t="str"/>
      <x:c r="N31" s="17" t="str">
        <x:v>NO</x:v>
      </x:c>
      <x:c r="O31" s="17" t="str"/>
    </x:row>
    <x:row r="32" ht="42" customHeight="1">
      <x:c r="A32" s="17" t="str">
        <x:v>C-AI-28</x:v>
      </x:c>
      <x:c r="B32" s="17" t="str">
        <x:v>Null total_amount</x:v>
      </x:c>
      <x:c r="C32" s="17" t="str">
        <x:v>Gemini Pro candidate</x:v>
      </x:c>
      <x:c r="D32" s="17" t="str">
        <x:v>VALID</x:v>
      </x:c>
      <x:c r="E32" s="17" t="str">
        <x:v>Traceable to the supplied requirement and has a usable oracle.</x:v>
      </x:c>
      <x:c r="F32" s="17" t="str">
        <x:v>Schema,C3</x:v>
      </x:c>
      <x:c r="G32" s="17" t="str">
        <x:v>Negative</x:v>
      </x:c>
      <x:c r="H32" s="17" t="str">
        <x:v>Medium</x:v>
      </x:c>
      <x:c r="I32" s="17" t="str">
        <x:v>REJECT</x:v>
      </x:c>
      <x:c r="J32" s="17" t="str">
        <x:v>{"authMode":"valid","code":"SAVE10","codeMode":"value","total":500000,"totalMode":"null","userIdMode":"self","usageCount":0}</x:v>
      </x:c>
      <x:c r="K32" s="17" t="str"/>
      <x:c r="L32" s="17" t="str">
        <x:v>PASS</x:v>
      </x:c>
      <x:c r="M32" s="17" t="str"/>
      <x:c r="N32" s="17" t="str">
        <x:v>NO</x:v>
      </x:c>
      <x:c r="O32" s="17" t="str"/>
    </x:row>
    <x:row r="33" ht="42" customHeight="1">
      <x:c r="A33" s="17" t="str">
        <x:v>C-AI-29</x:v>
      </x:c>
      <x:c r="B33" s="17" t="str">
        <x:v>Repeated calculation at zero prior uses</x:v>
      </x:c>
      <x:c r="C33" s="17" t="str">
        <x:v>Gemini Pro candidate</x:v>
      </x:c>
      <x:c r="D33" s="17" t="str">
        <x:v>INVALID</x:v>
      </x:c>
      <x:c r="E33" s="17" t="str">
        <x:v>AI originally asserted usage increments; corrected case verifies idempotence and unchanged usage.</x:v>
      </x:c>
      <x:c r="F33" s="17" t="str">
        <x:v>C5</x:v>
      </x:c>
      <x:c r="G33" s="17" t="str">
        <x:v>State</x:v>
      </x:c>
      <x:c r="H33" s="17" t="str">
        <x:v>Medium</x:v>
      </x:c>
      <x:c r="I33" s="17" t="str">
        <x:v>APPLY</x:v>
      </x:c>
      <x:c r="J33" s="17" t="str">
        <x:v>{"authMode":"valid","code":"VIP100","codeMode":"value","total":450000,"totalMode":"value","userIdMode":"self","usageCount":0,"repeatCheck":true,"expectedDiscount":100000,"expectedFinal":350000}</x:v>
      </x:c>
      <x:c r="K33" s="17" t="str"/>
      <x:c r="L33" s="17" t="str">
        <x:v>PASS</x:v>
      </x:c>
      <x:c r="M33" s="17" t="str"/>
      <x:c r="N33" s="17" t="str">
        <x:v>NO</x:v>
      </x:c>
      <x:c r="O33" s="17" t="str"/>
    </x:row>
    <x:row r="34" ht="42" customHeight="1">
      <x:c r="A34" s="17" t="str">
        <x:v>C-AI-30</x:v>
      </x:c>
      <x:c r="B34" s="17" t="str">
        <x:v>Repeated calculation at max minus one</x:v>
      </x:c>
      <x:c r="C34" s="17" t="str">
        <x:v>Gemini Pro candidate</x:v>
      </x:c>
      <x:c r="D34" s="17" t="str">
        <x:v>INVALID</x:v>
      </x:c>
      <x:c r="E34" s="17" t="str">
        <x:v>AI originally asserted usage increments; corrected to externally seeded max-1.</x:v>
      </x:c>
      <x:c r="F34" s="17" t="str">
        <x:v>C5</x:v>
      </x:c>
      <x:c r="G34" s="17" t="str">
        <x:v>BVA</x:v>
      </x:c>
      <x:c r="H34" s="17" t="str">
        <x:v>Medium</x:v>
      </x:c>
      <x:c r="I34" s="17" t="str">
        <x:v>APPLY</x:v>
      </x:c>
      <x:c r="J34" s="17" t="str">
        <x:v>{"authMode":"valid","code":"VIP100","codeMode":"value","total":450000,"totalMode":"value","userIdMode":"self","usageCount":1,"repeatCheck":true,"expectedDiscount":100000,"expectedFinal":350000}</x:v>
      </x:c>
      <x:c r="K34" s="17" t="str"/>
      <x:c r="L34" s="17" t="str">
        <x:v>PASS</x:v>
      </x:c>
      <x:c r="M34" s="17" t="str"/>
      <x:c r="N34" s="17" t="str">
        <x:v>NO</x:v>
      </x:c>
      <x:c r="O34" s="17" t="str"/>
    </x:row>
    <x:row r="35" ht="42" customHeight="1">
      <x:c r="A35" s="17" t="str">
        <x:v>C-AI-31</x:v>
      </x:c>
      <x:c r="B35" s="17" t="str">
        <x:v>VIP100 usage count at maximum</x:v>
      </x:c>
      <x:c r="C35" s="17" t="str">
        <x:v>Gemini Pro candidate</x:v>
      </x:c>
      <x:c r="D35" s="17" t="str">
        <x:v>VALID</x:v>
      </x:c>
      <x:c r="E35" s="17" t="str">
        <x:v>Traceable to the supplied requirement and has a usable oracle.</x:v>
      </x:c>
      <x:c r="F35" s="17" t="str">
        <x:v>C5</x:v>
      </x:c>
      <x:c r="G35" s="17" t="str">
        <x:v>BVA</x:v>
      </x:c>
      <x:c r="H35" s="17" t="str">
        <x:v>Medium</x:v>
      </x:c>
      <x:c r="I35" s="17" t="str">
        <x:v>REJECT</x:v>
      </x:c>
      <x:c r="J35" s="17" t="str">
        <x:v>{"authMode":"valid","code":"VIP100","codeMode":"value","total":450000,"totalMode":"value","userIdMode":"self","usageCount":2}</x:v>
      </x:c>
      <x:c r="K35" s="17" t="str"/>
      <x:c r="L35" s="17" t="str">
        <x:v>PASS</x:v>
      </x:c>
      <x:c r="M35" s="17" t="str"/>
      <x:c r="N35" s="17" t="str">
        <x:v>NO</x:v>
      </x:c>
      <x:c r="O35" s="17" t="str"/>
    </x:row>
    <x:row r="36" ht="42" customHeight="1">
      <x:c r="A36" s="17" t="str">
        <x:v>C-AI-32</x:v>
      </x:c>
      <x:c r="B36" s="17" t="str">
        <x:v>SAVE10 usage count at maximum</x:v>
      </x:c>
      <x:c r="C36" s="17" t="str">
        <x:v>Gemini Pro candidate</x:v>
      </x:c>
      <x:c r="D36" s="17" t="str">
        <x:v>VALID</x:v>
      </x:c>
      <x:c r="E36" s="17" t="str">
        <x:v>Traceable to the supplied requirement and has a usable oracle.</x:v>
      </x:c>
      <x:c r="F36" s="17" t="str">
        <x:v>C5</x:v>
      </x:c>
      <x:c r="G36" s="17" t="str">
        <x:v>BVA</x:v>
      </x:c>
      <x:c r="H36" s="17" t="str">
        <x:v>Medium</x:v>
      </x:c>
      <x:c r="I36" s="17" t="str">
        <x:v>REJECT</x:v>
      </x:c>
      <x:c r="J36" s="17" t="str">
        <x:v>{"authMode":"valid","code":"SAVE10","codeMode":"value","total":500000,"totalMode":"value","userIdMode":"self","usageCount":1}</x:v>
      </x:c>
      <x:c r="K36" s="17" t="str"/>
      <x:c r="L36" s="17" t="str">
        <x:v>PASS</x:v>
      </x:c>
      <x:c r="M36" s="17" t="str"/>
      <x:c r="N36" s="17" t="str">
        <x:v>NO</x:v>
      </x:c>
      <x:c r="O36" s="17" t="str"/>
    </x:row>
    <x:row r="37" ht="42" customHeight="1">
      <x:c r="A37" s="17" t="str">
        <x:v>C-AI-34</x:v>
      </x:c>
      <x:c r="B37" s="17" t="str">
        <x:v>SAVE10 formula at 800000</x:v>
      </x:c>
      <x:c r="C37" s="17" t="str">
        <x:v>Gemini Pro candidate</x:v>
      </x:c>
      <x:c r="D37" s="17" t="str">
        <x:v>VALID</x:v>
      </x:c>
      <x:c r="E37" s="17" t="str">
        <x:v>Traceable to the supplied requirement and has a usable oracle.</x:v>
      </x:c>
      <x:c r="F37" s="17" t="str">
        <x:v>Formula</x:v>
      </x:c>
      <x:c r="G37" s="17" t="str">
        <x:v>EP</x:v>
      </x:c>
      <x:c r="H37" s="17" t="str">
        <x:v>Medium</x:v>
      </x:c>
      <x:c r="I37" s="17" t="str">
        <x:v>APPLY</x:v>
      </x:c>
      <x:c r="J37" s="17" t="str">
        <x:v>{"authMode":"valid","code":"SAVE10","codeMode":"value","total":800000,"totalMode":"value","userIdMode":"self","usageCount":0,"expectedDiscount":80000,"expectedFinal":720000}</x:v>
      </x:c>
      <x:c r="K37" s="17" t="str"/>
      <x:c r="L37" s="17" t="str">
        <x:v>FAIL</x:v>
      </x:c>
      <x:c r="M37" s="17" t="str">
        <x:v>discount_amount follows formula | final_amount follows formula</x:v>
      </x:c>
      <x:c r="N37" s="17" t="str">
        <x:v>NO</x:v>
      </x:c>
      <x:c r="O37" s="17" t="str"/>
    </x:row>
    <x:row r="38" ht="42" customHeight="1">
      <x:c r="A38" s="17" t="str">
        <x:v>C-AI-35</x:v>
      </x:c>
      <x:c r="B38" s="17" t="str">
        <x:v>VIP100 formula at 450000</x:v>
      </x:c>
      <x:c r="C38" s="17" t="str">
        <x:v>Gemini Pro candidate</x:v>
      </x:c>
      <x:c r="D38" s="17" t="str">
        <x:v>VALID</x:v>
      </x:c>
      <x:c r="E38" s="17" t="str">
        <x:v>Traceable to the supplied requirement and has a usable oracle.</x:v>
      </x:c>
      <x:c r="F38" s="17" t="str">
        <x:v>Formula</x:v>
      </x:c>
      <x:c r="G38" s="17" t="str">
        <x:v>EP</x:v>
      </x:c>
      <x:c r="H38" s="17" t="str">
        <x:v>Medium</x:v>
      </x:c>
      <x:c r="I38" s="17" t="str">
        <x:v>APPLY</x:v>
      </x:c>
      <x:c r="J38" s="17" t="str">
        <x:v>{"authMode":"valid","code":"VIP100","codeMode":"value","total":450000,"totalMode":"value","userIdMode":"self","usageCount":0,"expectedDiscount":100000,"expectedFinal":350000}</x:v>
      </x:c>
      <x:c r="K38" s="17" t="str"/>
      <x:c r="L38" s="17" t="str">
        <x:v>PASS</x:v>
      </x:c>
      <x:c r="M38" s="17" t="str"/>
      <x:c r="N38" s="17" t="str">
        <x:v>NO</x:v>
      </x:c>
      <x:c r="O38" s="17" t="str"/>
    </x:row>
    <x:row r="39" ht="42" customHeight="1">
      <x:c r="A39" s="17" t="str">
        <x:v>C-AI-36</x:v>
      </x:c>
      <x:c r="B39" s="17" t="str">
        <x:v>SQL injection string in code</x:v>
      </x:c>
      <x:c r="C39" s="17" t="str">
        <x:v>Gemini Pro candidate</x:v>
      </x:c>
      <x:c r="D39" s="17" t="str">
        <x:v>VALID</x:v>
      </x:c>
      <x:c r="E39" s="17" t="str">
        <x:v>Traceable to the supplied requirement and has a usable oracle.</x:v>
      </x:c>
      <x:c r="F39" s="17" t="str">
        <x:v>SEC-05</x:v>
      </x:c>
      <x:c r="G39" s="17" t="str">
        <x:v>Security</x:v>
      </x:c>
      <x:c r="H39" s="17" t="str">
        <x:v>Medium</x:v>
      </x:c>
      <x:c r="I39" s="17" t="str">
        <x:v>REJECT</x:v>
      </x:c>
      <x:c r="J39" s="17" t="str">
        <x:v>{"authMode":"valid","code":"SAVE10' OR '1'='1","codeMode":"value","total":500000,"totalMode":"value","userIdMode":"self","usageCount":0}</x:v>
      </x:c>
      <x:c r="K39" s="17" t="str"/>
      <x:c r="L39" s="17" t="str">
        <x:v>PASS</x:v>
      </x:c>
      <x:c r="M39" s="17" t="str"/>
      <x:c r="N39" s="17" t="str">
        <x:v>NO</x:v>
      </x:c>
      <x:c r="O39" s="17" t="str"/>
    </x:row>
    <x:row r="40" ht="42" customHeight="1">
      <x:c r="A40" s="17" t="str">
        <x:v>C-AI-37</x:v>
      </x:c>
      <x:c r="B40" s="17" t="str">
        <x:v>SQL injection string in user_id</x:v>
      </x:c>
      <x:c r="C40" s="17" t="str">
        <x:v>Gemini Pro candidate</x:v>
      </x:c>
      <x:c r="D40" s="17" t="str">
        <x:v>VALID</x:v>
      </x:c>
      <x:c r="E40" s="17" t="str">
        <x:v>Traceable to the supplied requirement and has a usable oracle.</x:v>
      </x:c>
      <x:c r="F40" s="17" t="str">
        <x:v>SEC-05,Trust boundary</x:v>
      </x:c>
      <x:c r="G40" s="17" t="str">
        <x:v>Security</x:v>
      </x:c>
      <x:c r="H40" s="17" t="str">
        <x:v>Medium</x:v>
      </x:c>
      <x:c r="I40" s="17" t="str">
        <x:v>SAFE_IDENTITY</x:v>
      </x:c>
      <x:c r="J40" s="17" t="str">
        <x:v>{"authMode":"valid","code":"SAVE10","codeMode":"value","total":500000,"totalMode":"value","userIdMode":"sqli","usageCount":0}</x:v>
      </x:c>
      <x:c r="K40" s="17" t="str"/>
      <x:c r="L40" s="17" t="str">
        <x:v>PASS</x:v>
      </x:c>
      <x:c r="M40" s="17" t="str"/>
      <x:c r="N40" s="17" t="str">
        <x:v>NO</x:v>
      </x:c>
      <x:c r="O40" s="17" t="str"/>
    </x:row>
    <x:row r="41" ht="42" customHeight="1">
      <x:c r="A41" s="17" t="str">
        <x:v>C-AI-38</x:v>
      </x:c>
      <x:c r="B41" s="17" t="str">
        <x:v>Oversized coupon code</x:v>
      </x:c>
      <x:c r="C41" s="17" t="str">
        <x:v>Gemini Pro candidate</x:v>
      </x:c>
      <x:c r="D41" s="17" t="str">
        <x:v>VALID</x:v>
      </x:c>
      <x:c r="E41" s="17" t="str">
        <x:v>Traceable to the supplied requirement and has a usable oracle.</x:v>
      </x:c>
      <x:c r="F41" s="17" t="str">
        <x:v>Robustness</x:v>
      </x:c>
      <x:c r="G41" s="17" t="str">
        <x:v>Stress</x:v>
      </x:c>
      <x:c r="H41" s="17" t="str">
        <x:v>Medium</x:v>
      </x:c>
      <x:c r="I41" s="17" t="str">
        <x:v>REJECT</x:v>
      </x:c>
      <x:c r="J41" s="17" t="str">
        <x:v>{"authMode":"valid","code":"SAVE10","codeMode":"large","total":500000,"totalMode":"value","userIdMode":"self","usageCount":0}</x:v>
      </x:c>
      <x:c r="K41" s="17" t="str"/>
      <x:c r="L41" s="17" t="str">
        <x:v>PASS</x:v>
      </x:c>
      <x:c r="M41" s="17" t="str"/>
      <x:c r="N41" s="17" t="str">
        <x:v>NO</x:v>
      </x:c>
      <x:c r="O41" s="17" t="str"/>
    </x:row>
    <x:row r="42" ht="42" customHeight="1">
      <x:c r="A42" s="17" t="str">
        <x:v>C-AI-39</x:v>
      </x:c>
      <x:c r="B42" s="17" t="str">
        <x:v>Extra JSON property</x:v>
      </x:c>
      <x:c r="C42" s="17" t="str">
        <x:v>Gemini Pro candidate</x:v>
      </x:c>
      <x:c r="D42" s="17" t="str">
        <x:v>INCOMPLETE</x:v>
      </x:c>
      <x:c r="E42" s="17" t="str">
        <x:v>Extra property policy is unspecified.</x:v>
      </x:c>
      <x:c r="F42" s="17" t="str">
        <x:v>Schema</x:v>
      </x:c>
      <x:c r="G42" s="17" t="str">
        <x:v>Robustness</x:v>
      </x:c>
      <x:c r="H42" s="17" t="str">
        <x:v>Medium</x:v>
      </x:c>
      <x:c r="I42" s="17" t="str">
        <x:v>OBSERVE</x:v>
      </x:c>
      <x:c r="J42" s="17" t="str">
        <x:v>{"authMode":"valid","code":"SAVE10","codeMode":"value","total":500000,"totalMode":"value","userIdMode":"self","usageCount":0,"extraProperty":true}</x:v>
      </x:c>
      <x:c r="K42" s="17" t="str"/>
      <x:c r="L42" s="17" t="str">
        <x:v>PASS</x:v>
      </x:c>
      <x:c r="M42" s="17" t="str"/>
      <x:c r="N42" s="17" t="str">
        <x:v>NO</x:v>
      </x:c>
      <x:c r="O42" s="17" t="str"/>
    </x:row>
    <x:row r="43" ht="42" customHeight="1">
      <x:c r="A43" s="17" t="str">
        <x:v>C-AI-40</x:v>
      </x:c>
      <x:c r="B43" s="17" t="str">
        <x:v>Malformed JSON</x:v>
      </x:c>
      <x:c r="C43" s="17" t="str">
        <x:v>Gemini Pro candidate</x:v>
      </x:c>
      <x:c r="D43" s="17" t="str">
        <x:v>VALID</x:v>
      </x:c>
      <x:c r="E43" s="17" t="str">
        <x:v>Traceable to the supplied requirement and has a usable oracle.</x:v>
      </x:c>
      <x:c r="F43" s="17" t="str">
        <x:v>Schema</x:v>
      </x:c>
      <x:c r="G43" s="17" t="str">
        <x:v>Negative</x:v>
      </x:c>
      <x:c r="H43" s="17" t="str">
        <x:v>Medium</x:v>
      </x:c>
      <x:c r="I43" s="17" t="str">
        <x:v>REJECT</x:v>
      </x:c>
      <x:c r="J43" s="17" t="str">
        <x:v>{"authMode":"valid","code":"SAVE10","codeMode":"value","total":500000,"totalMode":"value","userIdMode":"self","usageCount":0,"rawBody":"{\"code\":\"SAVE10\","}</x:v>
      </x:c>
      <x:c r="K43" s="17" t="str"/>
      <x:c r="L43" s="17" t="str">
        <x:v>FAIL</x:v>
      </x:c>
      <x:c r="M43" s="17" t="str">
        <x:v>[C-AI-40] response has no stack/database leak</x:v>
      </x:c>
      <x:c r="N43" s="17" t="str">
        <x:v>NO</x:v>
      </x:c>
      <x:c r="O43" s="17" t="str"/>
    </x:row>
    <x:row r="44" ht="42" customHeight="1">
      <x:c r="A44" s="17" t="str">
        <x:v>C-AI-41</x:v>
      </x:c>
      <x:c r="B44" s="17" t="str">
        <x:v>Duplicate coupon-code JSON keys</x:v>
      </x:c>
      <x:c r="C44" s="17" t="str">
        <x:v>Gemini Pro candidate</x:v>
      </x:c>
      <x:c r="D44" s="17" t="str">
        <x:v>INCOMPLETE</x:v>
      </x:c>
      <x:c r="E44" s="17" t="str">
        <x:v>Duplicate-key parsing is unspecified.</x:v>
      </x:c>
      <x:c r="F44" s="17" t="str">
        <x:v>Schema</x:v>
      </x:c>
      <x:c r="G44" s="17" t="str">
        <x:v>Robustness</x:v>
      </x:c>
      <x:c r="H44" s="17" t="str">
        <x:v>Medium</x:v>
      </x:c>
      <x:c r="I44" s="17" t="str">
        <x:v>OBSERVE</x:v>
      </x:c>
      <x:c r="J44" s="17" t="str">
        <x:v>{"authMode":"valid","code":"SAVE10","codeMode":"value","total":500000,"totalMode":"value","userIdMode":"self","usageCount":0,"rawBody":"{\"code\":\"SAVE10\",\"code\":\"BIGBUY\",\"total_amount\":600000,\"user_id\":1}"}</x:v>
      </x:c>
      <x:c r="K44" s="17" t="str"/>
      <x:c r="L44" s="17" t="str">
        <x:v>PASS</x:v>
      </x:c>
      <x:c r="M44" s="17" t="str"/>
      <x:c r="N44" s="17" t="str">
        <x:v>NO</x:v>
      </x:c>
      <x:c r="O44" s="17" t="str"/>
    </x:row>
    <x:row r="45" ht="42" customHeight="1">
      <x:c r="A45" s="17" t="str">
        <x:v>C-AI-42</x:v>
      </x:c>
      <x:c r="B45" s="17" t="str">
        <x:v>String user_id</x:v>
      </x:c>
      <x:c r="C45" s="17" t="str">
        <x:v>Gemini Pro candidate</x:v>
      </x:c>
      <x:c r="D45" s="17" t="str">
        <x:v>INCOMPLETE</x:v>
      </x:c>
      <x:c r="E45" s="17" t="str">
        <x:v>Type coercion is unspecified.</x:v>
      </x:c>
      <x:c r="F45" s="17" t="str">
        <x:v>Schema,Trust boundary</x:v>
      </x:c>
      <x:c r="G45" s="17" t="str">
        <x:v>Robustness</x:v>
      </x:c>
      <x:c r="H45" s="17" t="str">
        <x:v>Medium</x:v>
      </x:c>
      <x:c r="I45" s="17" t="str">
        <x:v>OBSERVE</x:v>
      </x:c>
      <x:c r="J45" s="17" t="str">
        <x:v>{"authMode":"valid","code":"SAVE10","codeMode":"value","total":500000,"totalMode":"value","userIdMode":"string","usageCount":0}</x:v>
      </x:c>
      <x:c r="K45" s="17" t="str"/>
      <x:c r="L45" s="17" t="str">
        <x:v>PASS</x:v>
      </x:c>
      <x:c r="M45" s="17" t="str"/>
      <x:c r="N45" s="17" t="str">
        <x:v>NO</x:v>
      </x:c>
      <x:c r="O45" s="17" t="str"/>
    </x:row>
    <x:row r="46" ht="42" customHeight="1">
      <x:c r="A46" s="17" t="str">
        <x:v>C-AI-43</x:v>
      </x:c>
      <x:c r="B46" s="17" t="str">
        <x:v>Coupon code is an array</x:v>
      </x:c>
      <x:c r="C46" s="17" t="str">
        <x:v>Gemini Pro candidate</x:v>
      </x:c>
      <x:c r="D46" s="17" t="str">
        <x:v>VALID</x:v>
      </x:c>
      <x:c r="E46" s="17" t="str">
        <x:v>Traceable to the supplied requirement and has a usable oracle.</x:v>
      </x:c>
      <x:c r="F46" s="17" t="str">
        <x:v>Schema</x:v>
      </x:c>
      <x:c r="G46" s="17" t="str">
        <x:v>Negative</x:v>
      </x:c>
      <x:c r="H46" s="17" t="str">
        <x:v>Medium</x:v>
      </x:c>
      <x:c r="I46" s="17" t="str">
        <x:v>REJECT</x:v>
      </x:c>
      <x:c r="J46" s="17" t="str">
        <x:v>{"authMode":"valid","code":"SAVE10","codeMode":"array","total":500000,"totalMode":"value","userIdMode":"self","usageCount":0}</x:v>
      </x:c>
      <x:c r="K46" s="17" t="str"/>
      <x:c r="L46" s="17" t="str">
        <x:v>PASS</x:v>
      </x:c>
      <x:c r="M46" s="17" t="str"/>
      <x:c r="N46" s="17" t="str">
        <x:v>NO</x:v>
      </x:c>
      <x:c r="O46" s="17" t="str"/>
    </x:row>
    <x:row r="47" ht="42" customHeight="1">
      <x:c r="A47" s="17" t="str">
        <x:v>C-AI-44</x:v>
      </x:c>
      <x:c r="B47" s="17" t="str">
        <x:v>Coupon expires under controlled future time</x:v>
      </x:c>
      <x:c r="C47" s="17" t="str">
        <x:v>Gemini Pro candidate</x:v>
      </x:c>
      <x:c r="D47" s="17" t="str">
        <x:v>INCOMPLETE</x:v>
      </x:c>
      <x:c r="E47" s="17" t="str">
        <x:v>Requires controlled clock; seeded EXPIRED provides executable equivalent coverage.</x:v>
      </x:c>
      <x:c r="F47" s="17" t="str">
        <x:v>C2</x:v>
      </x:c>
      <x:c r="G47" s="17" t="str">
        <x:v>Time boundary</x:v>
      </x:c>
      <x:c r="H47" s="17" t="str">
        <x:v>Medium</x:v>
      </x:c>
      <x:c r="I47" s="17" t="str">
        <x:v>OBSERVE</x:v>
      </x:c>
      <x:c r="J47" s="17" t="str">
        <x:v>{"authMode":"valid","code":"SAVE10","codeMode":"value","total":500000,"totalMode":"value","userIdMode":"self","usageCount":0}</x:v>
      </x:c>
      <x:c r="K47" s="17" t="str">
        <x:v>Use a controlled clock only in an isolated environment.</x:v>
      </x:c>
      <x:c r="L47" s="17" t="str">
        <x:v>PASS</x:v>
      </x:c>
      <x:c r="M47" s="17" t="str"/>
      <x:c r="N47" s="17" t="str">
        <x:v>NO</x:v>
      </x:c>
      <x:c r="O47" s="17" t="str"/>
    </x:row>
    <x:row r="48" ht="42" customHeight="1">
      <x:c r="A48" s="17" t="str">
        <x:v>C-AI-45</x:v>
      </x:c>
      <x:c r="B48" s="17" t="str">
        <x:v>Empty JSON object</x:v>
      </x:c>
      <x:c r="C48" s="17" t="str">
        <x:v>Gemini Pro candidate</x:v>
      </x:c>
      <x:c r="D48" s="17" t="str">
        <x:v>VALID</x:v>
      </x:c>
      <x:c r="E48" s="17" t="str">
        <x:v>Traceable to the supplied requirement and has a usable oracle.</x:v>
      </x:c>
      <x:c r="F48" s="17" t="str">
        <x:v>Schema</x:v>
      </x:c>
      <x:c r="G48" s="17" t="str">
        <x:v>Negative</x:v>
      </x:c>
      <x:c r="H48" s="17" t="str">
        <x:v>Medium</x:v>
      </x:c>
      <x:c r="I48" s="17" t="str">
        <x:v>REJECT</x:v>
      </x:c>
      <x:c r="J48" s="17" t="str">
        <x:v>{"authMode":"valid","code":"SAVE10","codeMode":"value","total":500000,"totalMode":"value","userIdMode":"self","usageCount":0,"rawBody":"{}"}</x:v>
      </x:c>
      <x:c r="K48" s="17" t="str"/>
      <x:c r="L48" s="17" t="str">
        <x:v>PASS</x:v>
      </x:c>
      <x:c r="M48" s="17" t="str"/>
      <x:c r="N48" s="17" t="str">
        <x:v>NO</x:v>
      </x:c>
      <x:c r="O48" s="17" t="str"/>
    </x:row>
    <x:row r="49" ht="42" customHeight="1">
      <x:c r="A49" s="17" t="str">
        <x:v>C-H-01</x:v>
      </x:c>
      <x:c r="B49" s="17" t="str">
        <x:v>Coupon code with surrounding whitespace</x:v>
      </x:c>
      <x:c r="C49" s="17" t="str">
        <x:v>Student extension</x:v>
      </x:c>
      <x:c r="D49" s="17" t="str">
        <x:v>STUDENT_ADDED</x:v>
      </x:c>
      <x:c r="E49" s="17" t="str">
        <x:v>Added during human review because the AI candidate pool missed this risk.</x:v>
      </x:c>
      <x:c r="F49" s="17" t="str">
        <x:v>C1</x:v>
      </x:c>
      <x:c r="G49" s="17" t="str">
        <x:v>Input normalization</x:v>
      </x:c>
      <x:c r="H49" s="17" t="str">
        <x:v>High</x:v>
      </x:c>
      <x:c r="I49" s="17" t="str">
        <x:v>OBSERVE</x:v>
      </x:c>
      <x:c r="J49" s="17" t="str">
        <x:v>{"authMode":"valid","code":" SAVE10 ","codeMode":"value","total":500000,"totalMode":"value","userIdMode":"self","usageCount":0}</x:v>
      </x:c>
      <x:c r="K49" s="17" t="str"/>
      <x:c r="L49" s="17" t="str">
        <x:v>PASS</x:v>
      </x:c>
      <x:c r="M49" s="17" t="str"/>
      <x:c r="N49" s="17" t="str">
        <x:v>NO</x:v>
      </x:c>
      <x:c r="O49" s="17" t="str"/>
    </x:row>
    <x:row r="50" ht="42" customHeight="1">
      <x:c r="A50" s="17" t="str">
        <x:v>C-H-02</x:v>
      </x:c>
      <x:c r="B50" s="17" t="str">
        <x:v>Unicode-confusable coupon code</x:v>
      </x:c>
      <x:c r="C50" s="17" t="str">
        <x:v>Student extension</x:v>
      </x:c>
      <x:c r="D50" s="17" t="str">
        <x:v>STUDENT_ADDED</x:v>
      </x:c>
      <x:c r="E50" s="17" t="str">
        <x:v>Added during human review because the AI candidate pool missed this risk.</x:v>
      </x:c>
      <x:c r="F50" s="17" t="str">
        <x:v>C1</x:v>
      </x:c>
      <x:c r="G50" s="17" t="str">
        <x:v>Abuse case</x:v>
      </x:c>
      <x:c r="H50" s="17" t="str">
        <x:v>High</x:v>
      </x:c>
      <x:c r="I50" s="17" t="str">
        <x:v>REJECT</x:v>
      </x:c>
      <x:c r="J50" s="17" t="str">
        <x:v>{"authMode":"valid","code":"SΑVE10","codeMode":"value","total":500000,"totalMode":"value","userIdMode":"self","usageCount":0}</x:v>
      </x:c>
      <x:c r="K50" s="17" t="str"/>
      <x:c r="L50" s="17" t="str">
        <x:v>PASS</x:v>
      </x:c>
      <x:c r="M50" s="17" t="str"/>
      <x:c r="N50" s="17" t="str">
        <x:v>NO</x:v>
      </x:c>
      <x:c r="O50" s="17" t="str"/>
    </x:row>
    <x:row r="51" ht="42" customHeight="1">
      <x:c r="A51" s="17" t="str">
        <x:v>C-H-03</x:v>
      </x:c>
      <x:c r="B51" s="17" t="str">
        <x:v>Seeded percentage coupon over 100 percent</x:v>
      </x:c>
      <x:c r="C51" s="17" t="str">
        <x:v>Student extension</x:v>
      </x:c>
      <x:c r="D51" s="17" t="str">
        <x:v>STUDENT_ADDED</x:v>
      </x:c>
      <x:c r="E51" s="17" t="str">
        <x:v>Added during human review because the AI candidate pool missed this risk.</x:v>
      </x:c>
      <x:c r="F51" s="17" t="str">
        <x:v>Formula,FR-17</x:v>
      </x:c>
      <x:c r="G51" s="17" t="str">
        <x:v>Cross-feature robustness</x:v>
      </x:c>
      <x:c r="H51" s="17" t="str">
        <x:v>High</x:v>
      </x:c>
      <x:c r="I51" s="17" t="str">
        <x:v>OBSERVE</x:v>
      </x:c>
      <x:c r="J51" s="17" t="str">
        <x:v>{"authMode":"valid","code":"OVER100","codeMode":"value","total":1000,"totalMode":"value","userIdMode":"self","usageCount":0,"seedCoupon":"over100"}</x:v>
      </x:c>
      <x:c r="K51" s="17" t="str"/>
      <x:c r="L51" s="17" t="str">
        <x:v>PASS</x:v>
      </x:c>
      <x:c r="M51" s="17" t="str"/>
      <x:c r="N51" s="17" t="str">
        <x:v>NO</x:v>
      </x:c>
      <x:c r="O51" s="17" t="str"/>
    </x:row>
    <x:row r="52" ht="42" customHeight="1">
      <x:c r="A52" s="17" t="str">
        <x:v>C-H-04</x:v>
      </x:c>
      <x:c r="B52" s="17" t="str">
        <x:v>Very large numeric exponent</x:v>
      </x:c>
      <x:c r="C52" s="17" t="str">
        <x:v>Student extension</x:v>
      </x:c>
      <x:c r="D52" s="17" t="str">
        <x:v>STUDENT_ADDED</x:v>
      </x:c>
      <x:c r="E52" s="17" t="str">
        <x:v>Added during human review because the AI candidate pool missed this risk.</x:v>
      </x:c>
      <x:c r="F52" s="17" t="str">
        <x:v>Formula,Schema</x:v>
      </x:c>
      <x:c r="G52" s="17" t="str">
        <x:v>Numeric robustness</x:v>
      </x:c>
      <x:c r="H52" s="17" t="str">
        <x:v>High</x:v>
      </x:c>
      <x:c r="I52" s="17" t="str">
        <x:v>OBSERVE</x:v>
      </x:c>
      <x:c r="J52" s="17" t="str">
        <x:v>{"authMode":"valid","code":"SAVE10","codeMode":"value","total":500000,"totalMode":"value","userIdMode":"self","usageCount":0,"rawBody":"{\"code\":\"SAVE10\",\"total_amount\":1e309,\"user_id\":1}"}</x:v>
      </x:c>
      <x:c r="K52" s="17" t="str"/>
      <x:c r="L52" s="17" t="str">
        <x:v>PASS</x:v>
      </x:c>
      <x:c r="M52" s="17" t="str"/>
      <x:c r="N52" s="17" t="str">
        <x:v>NO</x:v>
      </x:c>
      <x:c r="O52" s="17" t="str"/>
    </x:row>
    <x:row r="53" ht="42" customHeight="1">
      <x:c r="A53" s="17" t="str">
        <x:v>C-H-05</x:v>
      </x:c>
      <x:c r="B53" s="17" t="str">
        <x:v>Fixed discount larger than order</x:v>
      </x:c>
      <x:c r="C53" s="17" t="str">
        <x:v>Student extension</x:v>
      </x:c>
      <x:c r="D53" s="17" t="str">
        <x:v>STUDENT_ADDED</x:v>
      </x:c>
      <x:c r="E53" s="17" t="str">
        <x:v>Added during human review because the AI candidate pool missed this risk.</x:v>
      </x:c>
      <x:c r="F53" s="17" t="str">
        <x:v>Formula</x:v>
      </x:c>
      <x:c r="G53" s="17" t="str">
        <x:v>Business invariant</x:v>
      </x:c>
      <x:c r="H53" s="17" t="str">
        <x:v>High</x:v>
      </x:c>
      <x:c r="I53" s="17" t="str">
        <x:v>OBSERVE</x:v>
      </x:c>
      <x:c r="J53" s="17" t="str">
        <x:v>{"authMode":"valid","code":"TOOBIG","codeMode":"value","total":1000,"totalMode":"value","userIdMode":"self","usageCount":0,"seedCoupon":"tooBig"}</x:v>
      </x:c>
      <x:c r="K53" s="17" t="str"/>
      <x:c r="L53" s="17" t="str">
        <x:v>PASS</x:v>
      </x:c>
      <x:c r="M53" s="17" t="str"/>
      <x:c r="N53" s="17" t="str">
        <x:v>NO</x:v>
      </x:c>
      <x:c r="O53" s="17" t="str"/>
    </x:row>
  </x:sheetData>
  <x:mergeCells>
    <x:mergeCell ref="A1:O2"/>
  </x:mergeCells>
  <x:conditionalFormatting sqref="D5:D53">
    <x:cfRule type="containsText" dxfId="6" priority="1" operator="containsText" text="INVALID"/>
    <x:cfRule type="containsText" dxfId="7" priority="2" operator="containsText" text="INCOMPLETE"/>
    <x:cfRule type="containsText" dxfId="8" priority="3" operator="containsText" text="STUDENT_ADDED"/>
  </x:conditionalFormatting>
  <x:conditionalFormatting sqref="L5:L53">
    <x:cfRule type="containsText" dxfId="9" priority="4" operator="containsText" text="PASS"/>
    <x:cfRule type="containsText" dxfId="10" priority="5" operator="containsText" text="FAIL"/>
  </x:conditionalFormatting>
  <x:conditionalFormatting sqref="N5:N53">
    <x:cfRule type="containsText" dxfId="11" priority="6" operator="containsText" text="NO"/>
  </x:conditionalFormatting>
  <x:dataValidations count="1">
    <x:dataValidation type="list" sqref="N5:N53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4bbd78eb6946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5" hidden="0" customWidth="1"/>
    <x:col min="5" max="5" width="46" hidden="0" customWidth="1"/>
    <x:col min="6" max="6" width="20" hidden="0" customWidth="1"/>
    <x:col min="7" max="7" width="20" hidden="0" customWidth="1"/>
    <x:col min="8" max="8" width="12" hidden="0" customWidth="1"/>
    <x:col min="9" max="9" width="16" hidden="0" customWidth="1"/>
    <x:col min="10" max="10" width="45" hidden="0" customWidth="1"/>
    <x:col min="11" max="11" width="35" hidden="0" customWidth="1"/>
    <x:col min="12" max="12" width="12" hidden="0" customWidth="1"/>
    <x:col min="13" max="13" width="44" hidden="0" customWidth="1"/>
    <x:col min="14" max="14" width="16" hidden="0" customWidth="1"/>
    <x:col min="15" max="15" width="32" hidden="0" customWidth="1"/>
  </x:cols>
  <x:sheetData>
    <x:row r="1" ht="48" customHeight="1">
      <x:c r="A1" s="4" t="str">
        <x:v>POST /api/admin/import-products
61 canonical cases • official Newman result • X-Student-Id 23127373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4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4" ht="30" customHeight="1">
      <x:c r="A4" s="13" t="str">
        <x:v>Case_ID</x:v>
      </x:c>
      <x:c r="B4" s="14" t="str">
        <x:v>Title</x:v>
      </x:c>
      <x:c r="C4" s="14" t="str">
        <x:v>Origin</x:v>
      </x:c>
      <x:c r="D4" s="14" t="str">
        <x:v>Audit_Label</x:v>
      </x:c>
      <x:c r="E4" s="14" t="str">
        <x:v>Audit_Reason</x:v>
      </x:c>
      <x:c r="F4" s="14" t="str">
        <x:v>Requirement</x:v>
      </x:c>
      <x:c r="G4" s="14" t="str">
        <x:v>Technique</x:v>
      </x:c>
      <x:c r="H4" s="14" t="str">
        <x:v>Priority</x:v>
      </x:c>
      <x:c r="I4" s="14" t="str">
        <x:v>Oracle</x:v>
      </x:c>
      <x:c r="J4" s="14" t="str">
        <x:v>Input / mode</x:v>
      </x:c>
      <x:c r="K4" s="14" t="str">
        <x:v>Manual_Review</x:v>
      </x:c>
      <x:c r="L4" s="14" t="str">
        <x:v>Official_Result</x:v>
      </x:c>
      <x:c r="M4" s="14" t="str">
        <x:v>Official_Failures</x:v>
      </x:c>
      <x:c r="N4" s="14" t="str">
        <x:v>Human_Verified</x:v>
      </x:c>
      <x:c r="O4" s="15" t="str">
        <x:v>Reviewer_Notes</x:v>
      </x:c>
    </x:row>
    <x:row r="5" ht="42" customHeight="1">
      <x:c r="A5" s="17" t="str">
        <x:v>I-AI-01</x:v>
      </x:c>
      <x:c r="B5" s="17" t="str">
        <x:v>One valid product with admin JWT</x:v>
      </x:c>
      <x:c r="C5" s="17" t="str">
        <x:v>Gemini Pro candidate</x:v>
      </x:c>
      <x:c r="D5" s="17" t="str">
        <x:v>VALID</x:v>
      </x:c>
      <x:c r="E5" s="17" t="str">
        <x:v>Traceable to the supplied requirement and has a usable oracle.</x:v>
      </x:c>
      <x:c r="F5" s="17" t="str">
        <x:v>FR-12,FR-16</x:v>
      </x:c>
      <x:c r="G5" s="17" t="str">
        <x:v>Nominal</x:v>
      </x:c>
      <x:c r="H5" s="17" t="str">
        <x:v>High</x:v>
      </x:c>
      <x:c r="I5" s="17" t="str">
        <x:v>COMMIT</x:v>
      </x:c>
      <x:c r="J5" s="17" t="str">
        <x:v>{"authMode":"admin","expectedDelta":1,"payload":{"products":[{"name":"__CASE__ Product","price":10000,"description":"Valid product description","imageUrl":"https://example.com/product.png","category_id":1}]}}</x:v>
      </x:c>
      <x:c r="K5" s="17" t="str"/>
      <x:c r="L5" s="17" t="str">
        <x:v>PASS</x:v>
      </x:c>
      <x:c r="M5" s="17" t="str"/>
      <x:c r="N5" s="17" t="str">
        <x:v>NO</x:v>
      </x:c>
      <x:c r="O5" s="17" t="str"/>
    </x:row>
    <x:row r="6" ht="42" customHeight="1">
      <x:c r="A6" s="17" t="str">
        <x:v>I-AI-02</x:v>
      </x:c>
      <x:c r="B6" s="17" t="str">
        <x:v>Normal-user JWT</x:v>
      </x:c>
      <x:c r="C6" s="17" t="str">
        <x:v>Gemini Pro candidate</x:v>
      </x:c>
      <x:c r="D6" s="17" t="str">
        <x:v>VALID</x:v>
      </x:c>
      <x:c r="E6" s="17" t="str">
        <x:v>Traceable to the supplied requirement and has a usable oracle.</x:v>
      </x:c>
      <x:c r="F6" s="17" t="str">
        <x:v>FR-12,SEC-03</x:v>
      </x:c>
      <x:c r="G6" s="17" t="str">
        <x:v>Authorization</x:v>
      </x:c>
      <x:c r="H6" s="17" t="str">
        <x:v>High</x:v>
      </x:c>
      <x:c r="I6" s="17" t="str">
        <x:v>REJECT_BEFORE_PROCESSING</x:v>
      </x:c>
      <x:c r="J6" s="17" t="str">
        <x:v>{"authMode":"user","expectedDelta":0,"payload":{"products":[{"name":"__CASE__ Product","price":10000,"description":"Valid product description","imageUrl":"https://example.com/product.png","category_id":1}]}}</x:v>
      </x:c>
      <x:c r="K6" s="17" t="str"/>
      <x:c r="L6" s="17" t="str">
        <x:v>FAIL</x:v>
      </x:c>
      <x:c r="M6" s="17" t="str">
        <x:v>Authorization gate rejects request | [I-AI-02] database snapshot is unchanged</x:v>
      </x:c>
      <x:c r="N6" s="17" t="str">
        <x:v>NO</x:v>
      </x:c>
      <x:c r="O6" s="17" t="str"/>
    </x:row>
    <x:row r="7" ht="42" customHeight="1">
      <x:c r="A7" s="17" t="str">
        <x:v>I-AI-03</x:v>
      </x:c>
      <x:c r="B7" s="17" t="str">
        <x:v>Missing token</x:v>
      </x:c>
      <x:c r="C7" s="17" t="str">
        <x:v>Gemini Pro candidate</x:v>
      </x:c>
      <x:c r="D7" s="17" t="str">
        <x:v>VALID</x:v>
      </x:c>
      <x:c r="E7" s="17" t="str">
        <x:v>Traceable to the supplied requirement and has a usable oracle.</x:v>
      </x:c>
      <x:c r="F7" s="17" t="str">
        <x:v>SEC-02</x:v>
      </x:c>
      <x:c r="G7" s="17" t="str">
        <x:v>Authorization</x:v>
      </x:c>
      <x:c r="H7" s="17" t="str">
        <x:v>Medium</x:v>
      </x:c>
      <x:c r="I7" s="17" t="str">
        <x:v>REJECT_BEFORE_PROCESSING</x:v>
      </x:c>
      <x:c r="J7" s="17" t="str">
        <x:v>{"authMode":"missing","expectedDelta":0,"payload":{"products":[{"name":"__CASE__ Product","price":10000,"description":"Valid product description","imageUrl":"https://example.com/product.png","category_id":1}]}}</x:v>
      </x:c>
      <x:c r="K7" s="17" t="str"/>
      <x:c r="L7" s="17" t="str">
        <x:v>PASS</x:v>
      </x:c>
      <x:c r="M7" s="17" t="str"/>
      <x:c r="N7" s="17" t="str">
        <x:v>NO</x:v>
      </x:c>
      <x:c r="O7" s="17" t="str"/>
    </x:row>
    <x:row r="8" ht="42" customHeight="1">
      <x:c r="A8" s="17" t="str">
        <x:v>I-AI-04</x:v>
      </x:c>
      <x:c r="B8" s="17" t="str">
        <x:v>Blank Bearer token</x:v>
      </x:c>
      <x:c r="C8" s="17" t="str">
        <x:v>Gemini Pro candidate</x:v>
      </x:c>
      <x:c r="D8" s="17" t="str">
        <x:v>VALID</x:v>
      </x:c>
      <x:c r="E8" s="17" t="str">
        <x:v>Traceable to the supplied requirement and has a usable oracle.</x:v>
      </x:c>
      <x:c r="F8" s="17" t="str">
        <x:v>SEC-02</x:v>
      </x:c>
      <x:c r="G8" s="17" t="str">
        <x:v>Authorization</x:v>
      </x:c>
      <x:c r="H8" s="17" t="str">
        <x:v>Medium</x:v>
      </x:c>
      <x:c r="I8" s="17" t="str">
        <x:v>REJECT_BEFORE_PROCESSING</x:v>
      </x:c>
      <x:c r="J8" s="17" t="str">
        <x:v>{"authMode":"blank","expectedDelta":0,"payload":{"products":[{"name":"__CASE__ Product","price":10000,"description":"Valid product description","imageUrl":"https://example.com/product.png","category_id":1}]}}</x:v>
      </x:c>
      <x:c r="K8" s="17" t="str"/>
      <x:c r="L8" s="17" t="str">
        <x:v>PASS</x:v>
      </x:c>
      <x:c r="M8" s="17" t="str"/>
      <x:c r="N8" s="17" t="str">
        <x:v>NO</x:v>
      </x:c>
      <x:c r="O8" s="17" t="str"/>
    </x:row>
    <x:row r="9" ht="42" customHeight="1">
      <x:c r="A9" s="17" t="str">
        <x:v>I-AI-05</x:v>
      </x:c>
      <x:c r="B9" s="17" t="str">
        <x:v>Malformed token</x:v>
      </x:c>
      <x:c r="C9" s="17" t="str">
        <x:v>Gemini Pro candidate</x:v>
      </x:c>
      <x:c r="D9" s="17" t="str">
        <x:v>VALID</x:v>
      </x:c>
      <x:c r="E9" s="17" t="str">
        <x:v>Traceable to the supplied requirement and has a usable oracle.</x:v>
      </x:c>
      <x:c r="F9" s="17" t="str">
        <x:v>SEC-02</x:v>
      </x:c>
      <x:c r="G9" s="17" t="str">
        <x:v>Authorization</x:v>
      </x:c>
      <x:c r="H9" s="17" t="str">
        <x:v>Medium</x:v>
      </x:c>
      <x:c r="I9" s="17" t="str">
        <x:v>REJECT_BEFORE_PROCESSING</x:v>
      </x:c>
      <x:c r="J9" s="17" t="str">
        <x:v>{"authMode":"malformed","expectedDelta":0,"payload":{"products":[{"name":"__CASE__ Product","price":10000,"description":"Valid product description","imageUrl":"https://example.com/product.png","category_id":1}]}}</x:v>
      </x:c>
      <x:c r="K9" s="17" t="str"/>
      <x:c r="L9" s="17" t="str">
        <x:v>PASS</x:v>
      </x:c>
      <x:c r="M9" s="17" t="str"/>
      <x:c r="N9" s="17" t="str">
        <x:v>NO</x:v>
      </x:c>
      <x:c r="O9" s="17" t="str"/>
    </x:row>
    <x:row r="10" ht="42" customHeight="1">
      <x:c r="A10" s="17" t="str">
        <x:v>I-AI-06</x:v>
      </x:c>
      <x:c r="B10" s="17" t="str">
        <x:v>JWT with invalid signature</x:v>
      </x:c>
      <x:c r="C10" s="17" t="str">
        <x:v>Gemini Pro candidate</x:v>
      </x:c>
      <x:c r="D10" s="17" t="str">
        <x:v>VALID</x:v>
      </x:c>
      <x:c r="E10" s="17" t="str">
        <x:v>Traceable to the supplied requirement and has a usable oracle.</x:v>
      </x:c>
      <x:c r="F10" s="17" t="str">
        <x:v>SEC-02</x:v>
      </x:c>
      <x:c r="G10" s="17" t="str">
        <x:v>Authorization</x:v>
      </x:c>
      <x:c r="H10" s="17" t="str">
        <x:v>Medium</x:v>
      </x:c>
      <x:c r="I10" s="17" t="str">
        <x:v>REJECT_BEFORE_PROCESSING</x:v>
      </x:c>
      <x:c r="J10" s="17" t="str">
        <x:v>{"authMode":"invalidSignature","expectedDelta":0,"payload":{"products":[{"name":"__CASE__ Product","price":10000,"description":"Valid product description","imageUrl":"https://example.com/product.png","category_id":1}]}}</x:v>
      </x:c>
      <x:c r="K10" s="17" t="str"/>
      <x:c r="L10" s="17" t="str">
        <x:v>PASS</x:v>
      </x:c>
      <x:c r="M10" s="17" t="str"/>
      <x:c r="N10" s="17" t="str">
        <x:v>NO</x:v>
      </x:c>
      <x:c r="O10" s="17" t="str"/>
    </x:row>
    <x:row r="11" ht="42" customHeight="1">
      <x:c r="A11" s="17" t="str">
        <x:v>I-AI-07</x:v>
      </x:c>
      <x:c r="B11" s="17" t="str">
        <x:v>Expired admin JWT</x:v>
      </x:c>
      <x:c r="C11" s="17" t="str">
        <x:v>Gemini Pro candidate</x:v>
      </x:c>
      <x:c r="D11" s="17" t="str">
        <x:v>VALID</x:v>
      </x:c>
      <x:c r="E11" s="17" t="str">
        <x:v>Traceable to the supplied requirement and has a usable oracle.</x:v>
      </x:c>
      <x:c r="F11" s="17" t="str">
        <x:v>SEC-02</x:v>
      </x:c>
      <x:c r="G11" s="17" t="str">
        <x:v>Authorization</x:v>
      </x:c>
      <x:c r="H11" s="17" t="str">
        <x:v>Medium</x:v>
      </x:c>
      <x:c r="I11" s="17" t="str">
        <x:v>REJECT_BEFORE_PROCESSING</x:v>
      </x:c>
      <x:c r="J11" s="17" t="str">
        <x:v>{"authMode":"expired","expectedDelta":0,"payload":{"products":[{"name":"__CASE__ Product","price":10000,"description":"Valid product description","imageUrl":"https://example.com/product.png","category_id":1}]}}</x:v>
      </x:c>
      <x:c r="K11" s="17" t="str"/>
      <x:c r="L11" s="17" t="str">
        <x:v>PASS</x:v>
      </x:c>
      <x:c r="M11" s="17" t="str"/>
      <x:c r="N11" s="17" t="str">
        <x:v>NO</x:v>
      </x:c>
      <x:c r="O11" s="17" t="str"/>
    </x:row>
    <x:row r="12" ht="42" customHeight="1">
      <x:c r="A12" s="17" t="str">
        <x:v>I-AI-08</x:v>
      </x:c>
      <x:c r="B12" s="17" t="str">
        <x:v>Missing products key</x:v>
      </x:c>
      <x:c r="C12" s="17" t="str">
        <x:v>Gemini Pro candidate</x:v>
      </x:c>
      <x:c r="D12" s="17" t="str">
        <x:v>INVALID</x:v>
      </x:c>
      <x:c r="E12" s="17" t="str">
        <x:v>AI incorrectly called this pre-processing rejection; corrected to authenticated payload validation.</x:v>
      </x:c>
      <x:c r="F12" s="17" t="str">
        <x:v>FR-16</x:v>
      </x:c>
      <x:c r="G12" s="17" t="str">
        <x:v>Schema</x:v>
      </x:c>
      <x:c r="H12" s="17" t="str">
        <x:v>Medium</x:v>
      </x:c>
      <x:c r="I12" s="17" t="str">
        <x:v>REJECT_AT_VALIDATION</x:v>
      </x:c>
      <x:c r="J12" s="17" t="str">
        <x:v>{"authMode":"admin","expectedDelta":0,"payload":{}}</x:v>
      </x:c>
      <x:c r="K12" s="17" t="str"/>
      <x:c r="L12" s="17" t="str">
        <x:v>PASS</x:v>
      </x:c>
      <x:c r="M12" s="17" t="str"/>
      <x:c r="N12" s="17" t="str">
        <x:v>NO</x:v>
      </x:c>
      <x:c r="O12" s="17" t="str"/>
    </x:row>
    <x:row r="13" ht="42" customHeight="1">
      <x:c r="A13" s="17" t="str">
        <x:v>I-AI-09</x:v>
      </x:c>
      <x:c r="B13" s="17" t="str">
        <x:v>products is null</x:v>
      </x:c>
      <x:c r="C13" s="17" t="str">
        <x:v>Gemini Pro candidate</x:v>
      </x:c>
      <x:c r="D13" s="17" t="str">
        <x:v>INVALID</x:v>
      </x:c>
      <x:c r="E13" s="17" t="str">
        <x:v>Corrected outcome terminology.</x:v>
      </x:c>
      <x:c r="F13" s="17" t="str">
        <x:v>FR-16</x:v>
      </x:c>
      <x:c r="G13" s="17" t="str">
        <x:v>Schema</x:v>
      </x:c>
      <x:c r="H13" s="17" t="str">
        <x:v>Medium</x:v>
      </x:c>
      <x:c r="I13" s="17" t="str">
        <x:v>REJECT_AT_VALIDATION</x:v>
      </x:c>
      <x:c r="J13" s="17" t="str">
        <x:v>{"authMode":"admin","expectedDelta":0,"payload":{"products":null}}</x:v>
      </x:c>
      <x:c r="K13" s="17" t="str"/>
      <x:c r="L13" s="17" t="str">
        <x:v>PASS</x:v>
      </x:c>
      <x:c r="M13" s="17" t="str"/>
      <x:c r="N13" s="17" t="str">
        <x:v>NO</x:v>
      </x:c>
      <x:c r="O13" s="17" t="str"/>
    </x:row>
    <x:row r="14" ht="42" customHeight="1">
      <x:c r="A14" s="17" t="str">
        <x:v>I-AI-10</x:v>
      </x:c>
      <x:c r="B14" s="17" t="str">
        <x:v>products is an object</x:v>
      </x:c>
      <x:c r="C14" s="17" t="str">
        <x:v>Gemini Pro candidate</x:v>
      </x:c>
      <x:c r="D14" s="17" t="str">
        <x:v>INVALID</x:v>
      </x:c>
      <x:c r="E14" s="17" t="str">
        <x:v>Corrected outcome terminology.</x:v>
      </x:c>
      <x:c r="F14" s="17" t="str">
        <x:v>FR-16</x:v>
      </x:c>
      <x:c r="G14" s="17" t="str">
        <x:v>Schema</x:v>
      </x:c>
      <x:c r="H14" s="17" t="str">
        <x:v>Medium</x:v>
      </x:c>
      <x:c r="I14" s="17" t="str">
        <x:v>REJECT_AT_VALIDATION</x:v>
      </x:c>
      <x:c r="J14" s="17" t="str">
        <x:v>{"authMode":"admin","expectedDelta":0,"payload":{"products":{"name":"__CASE__ Product","price":10000,"description":"Valid product description","imageUrl":"https://example.com/product.png","category_id":1}}}</x:v>
      </x:c>
      <x:c r="K14" s="17" t="str"/>
      <x:c r="L14" s="17" t="str">
        <x:v>PASS</x:v>
      </x:c>
      <x:c r="M14" s="17" t="str"/>
      <x:c r="N14" s="17" t="str">
        <x:v>NO</x:v>
      </x:c>
      <x:c r="O14" s="17" t="str"/>
    </x:row>
    <x:row r="15" ht="42" customHeight="1">
      <x:c r="A15" s="17" t="str">
        <x:v>I-AI-11</x:v>
      </x:c>
      <x:c r="B15" s="17" t="str">
        <x:v>products is a string</x:v>
      </x:c>
      <x:c r="C15" s="17" t="str">
        <x:v>Gemini Pro candidate</x:v>
      </x:c>
      <x:c r="D15" s="17" t="str">
        <x:v>INVALID</x:v>
      </x:c>
      <x:c r="E15" s="17" t="str">
        <x:v>Corrected outcome terminology.</x:v>
      </x:c>
      <x:c r="F15" s="17" t="str">
        <x:v>FR-16</x:v>
      </x:c>
      <x:c r="G15" s="17" t="str">
        <x:v>Schema</x:v>
      </x:c>
      <x:c r="H15" s="17" t="str">
        <x:v>Medium</x:v>
      </x:c>
      <x:c r="I15" s="17" t="str">
        <x:v>REJECT_AT_VALIDATION</x:v>
      </x:c>
      <x:c r="J15" s="17" t="str">
        <x:v>{"authMode":"admin","expectedDelta":0,"payload":{"products":"[]"}}</x:v>
      </x:c>
      <x:c r="K15" s="17" t="str"/>
      <x:c r="L15" s="17" t="str">
        <x:v>PASS</x:v>
      </x:c>
      <x:c r="M15" s="17" t="str"/>
      <x:c r="N15" s="17" t="str">
        <x:v>NO</x:v>
      </x:c>
      <x:c r="O15" s="17" t="str"/>
    </x:row>
    <x:row r="16" ht="42" customHeight="1">
      <x:c r="A16" s="17" t="str">
        <x:v>I-AI-12</x:v>
      </x:c>
      <x:c r="B16" s="17" t="str">
        <x:v>products is an empty array</x:v>
      </x:c>
      <x:c r="C16" s="17" t="str">
        <x:v>Gemini Pro candidate</x:v>
      </x:c>
      <x:c r="D16" s="17" t="str">
        <x:v>INVALID</x:v>
      </x:c>
      <x:c r="E16" s="17" t="str">
        <x:v>Original outcome was observational; API cannot import zero rows and should reject at validation.</x:v>
      </x:c>
      <x:c r="F16" s="17" t="str">
        <x:v>FR-16</x:v>
      </x:c>
      <x:c r="G16" s="17" t="str">
        <x:v>BVA</x:v>
      </x:c>
      <x:c r="H16" s="17" t="str">
        <x:v>Medium</x:v>
      </x:c>
      <x:c r="I16" s="17" t="str">
        <x:v>REJECT_AT_VALIDATION</x:v>
      </x:c>
      <x:c r="J16" s="17" t="str">
        <x:v>{"authMode":"admin","expectedDelta":0,"payload":{"products":[]}}</x:v>
      </x:c>
      <x:c r="K16" s="17" t="str"/>
      <x:c r="L16" s="17" t="str">
        <x:v>PASS</x:v>
      </x:c>
      <x:c r="M16" s="17" t="str"/>
      <x:c r="N16" s="17" t="str">
        <x:v>NO</x:v>
      </x:c>
      <x:c r="O16" s="17" t="str"/>
    </x:row>
    <x:row r="17" ht="42" customHeight="1">
      <x:c r="A17" s="17" t="str">
        <x:v>I-AI-13</x:v>
      </x:c>
      <x:c r="B17" s="17" t="str">
        <x:v>Fifty valid products</x:v>
      </x:c>
      <x:c r="C17" s="17" t="str">
        <x:v>Gemini Pro candidate</x:v>
      </x:c>
      <x:c r="D17" s="17" t="str">
        <x:v>VALID</x:v>
      </x:c>
      <x:c r="E17" s="17" t="str">
        <x:v>Traceable to the supplied requirement and has a usable oracle.</x:v>
      </x:c>
      <x:c r="F17" s="17" t="str">
        <x:v>FR-16</x:v>
      </x:c>
      <x:c r="G17" s="17" t="str">
        <x:v>EP</x:v>
      </x:c>
      <x:c r="H17" s="17" t="str">
        <x:v>Medium</x:v>
      </x:c>
      <x:c r="I17" s="17" t="str">
        <x:v>COMMIT</x:v>
      </x:c>
      <x:c r="J17" s="17" t="str">
        <x:v>{"authMode":"admin","expectedDelta":50,"payload":{"products":[{"name":"__CASE__ Product 1","price":10000,"description":"Valid product description","imageUrl":"https://example.com/product.png","category_id":1},{"name":"__CASE__ Product 2","price":10000,"description":"Valid product description","imageUrl":"https://exampl…</x:v>
      </x:c>
      <x:c r="K17" s="17" t="str"/>
      <x:c r="L17" s="17" t="str">
        <x:v>PASS</x:v>
      </x:c>
      <x:c r="M17" s="17" t="str"/>
      <x:c r="N17" s="17" t="str">
        <x:v>NO</x:v>
      </x:c>
      <x:c r="O17" s="17" t="str"/>
    </x:row>
    <x:row r="18" ht="42" customHeight="1">
      <x:c r="A18" s="17" t="str">
        <x:v>I-AI-14</x:v>
      </x:c>
      <x:c r="B18" s="17" t="str">
        <x:v>Large valid batch</x:v>
      </x:c>
      <x:c r="C18" s="17" t="str">
        <x:v>Gemini Pro candidate</x:v>
      </x:c>
      <x:c r="D18" s="17" t="str">
        <x:v>INCOMPLETE</x:v>
      </x:c>
      <x:c r="E18" s="17" t="str">
        <x:v>Batch-size limits are unspecified; reduced to 500 for safe execution.</x:v>
      </x:c>
      <x:c r="F18" s="17" t="str">
        <x:v>Robustness</x:v>
      </x:c>
      <x:c r="G18" s="17" t="str">
        <x:v>Stress</x:v>
      </x:c>
      <x:c r="H18" s="17" t="str">
        <x:v>Medium</x:v>
      </x:c>
      <x:c r="I18" s="17" t="str">
        <x:v>OBSERVE</x:v>
      </x:c>
      <x:c r="J18" s="17" t="str">
        <x:v>{"authMode":"admin","expectedDelta":0,"payload":{"products":[{"name":"__CASE__ Stress 1","price":10000,"description":"Valid product description","imageUrl":"https://example.com/product.png","category_id":1},{"name":"__CASE__ Stress 2","price":10000,"description":"Valid product description","imageUrl":"https://example.c…</x:v>
      </x:c>
      <x:c r="K18" s="17" t="str"/>
      <x:c r="L18" s="17" t="str">
        <x:v>PASS</x:v>
      </x:c>
      <x:c r="M18" s="17" t="str"/>
      <x:c r="N18" s="17" t="str">
        <x:v>NO</x:v>
      </x:c>
      <x:c r="O18" s="17" t="str"/>
    </x:row>
    <x:row r="19" ht="42" customHeight="1">
      <x:c r="A19" s="17" t="str">
        <x:v>I-AI-15</x:v>
      </x:c>
      <x:c r="B19" s="17" t="str">
        <x:v>Missing product name</x:v>
      </x:c>
      <x:c r="C19" s="17" t="str">
        <x:v>Gemini Pro candidate</x:v>
      </x:c>
      <x:c r="D19" s="17" t="str">
        <x:v>VALID</x:v>
      </x:c>
      <x:c r="E19" s="17" t="str">
        <x:v>Traceable to the supplied requirement and has a usable oracle.</x:v>
      </x:c>
      <x:c r="F19" s="17" t="str">
        <x:v>FR-15,FR-16</x:v>
      </x:c>
      <x:c r="G19" s="17" t="str">
        <x:v>EP</x:v>
      </x:c>
      <x:c r="H19" s="17" t="str">
        <x:v>High</x:v>
      </x:c>
      <x:c r="I19" s="17" t="str">
        <x:v>ROLLBACK</x:v>
      </x:c>
      <x:c r="J19" s="17" t="str">
        <x:v>{"authMode":"admin","expectedDelta":0,"payload":{"products":[{"price":10000,"description":"Valid product description","imageUrl":"https://example.com/product.png","category_id":1}]}}</x:v>
      </x:c>
      <x:c r="K19" s="17" t="str"/>
      <x:c r="L19" s="17" t="str">
        <x:v>PASS</x:v>
      </x:c>
      <x:c r="M19" s="17" t="str"/>
      <x:c r="N19" s="17" t="str">
        <x:v>NO</x:v>
      </x:c>
      <x:c r="O19" s="17" t="str"/>
    </x:row>
    <x:row r="20" ht="42" customHeight="1">
      <x:c r="A20" s="17" t="str">
        <x:v>I-AI-16</x:v>
      </x:c>
      <x:c r="B20" s="17" t="str">
        <x:v>Null product name</x:v>
      </x:c>
      <x:c r="C20" s="17" t="str">
        <x:v>Gemini Pro candidate</x:v>
      </x:c>
      <x:c r="D20" s="17" t="str">
        <x:v>VALID</x:v>
      </x:c>
      <x:c r="E20" s="17" t="str">
        <x:v>Traceable to the supplied requirement and has a usable oracle.</x:v>
      </x:c>
      <x:c r="F20" s="17" t="str">
        <x:v>FR-15,FR-16</x:v>
      </x:c>
      <x:c r="G20" s="17" t="str">
        <x:v>BVA</x:v>
      </x:c>
      <x:c r="H20" s="17" t="str">
        <x:v>Medium</x:v>
      </x:c>
      <x:c r="I20" s="17" t="str">
        <x:v>ROLLBACK</x:v>
      </x:c>
      <x:c r="J20" s="17" t="str">
        <x:v>{"authMode":"admin","expectedDelta":0,"payload":{"products":[{"name":null,"price":10000,"description":"Valid product description","imageUrl":"https://example.com/product.png","category_id":1}]}}</x:v>
      </x:c>
      <x:c r="K20" s="17" t="str"/>
      <x:c r="L20" s="17" t="str">
        <x:v>PASS</x:v>
      </x:c>
      <x:c r="M20" s="17" t="str"/>
      <x:c r="N20" s="17" t="str">
        <x:v>NO</x:v>
      </x:c>
      <x:c r="O20" s="17" t="str"/>
    </x:row>
    <x:row r="21" ht="42" customHeight="1">
      <x:c r="A21" s="17" t="str">
        <x:v>I-AI-17</x:v>
      </x:c>
      <x:c r="B21" s="17" t="str">
        <x:v>Empty product name</x:v>
      </x:c>
      <x:c r="C21" s="17" t="str">
        <x:v>Gemini Pro candidate</x:v>
      </x:c>
      <x:c r="D21" s="17" t="str">
        <x:v>VALID</x:v>
      </x:c>
      <x:c r="E21" s="17" t="str">
        <x:v>Traceable to the supplied requirement and has a usable oracle.</x:v>
      </x:c>
      <x:c r="F21" s="17" t="str">
        <x:v>FR-15,FR-16</x:v>
      </x:c>
      <x:c r="G21" s="17" t="str">
        <x:v>BVA</x:v>
      </x:c>
      <x:c r="H21" s="17" t="str">
        <x:v>High</x:v>
      </x:c>
      <x:c r="I21" s="17" t="str">
        <x:v>ROLLBACK</x:v>
      </x:c>
      <x:c r="J21" s="17" t="str">
        <x:v>{"authMode":"admin","expectedDelta":0,"payload":{"products":[{"name":"","price":10000,"description":"Valid product description","imageUrl":"https://example.com/product.png","category_id":1}]}}</x:v>
      </x:c>
      <x:c r="K21" s="17" t="str"/>
      <x:c r="L21" s="17" t="str">
        <x:v>PASS</x:v>
      </x:c>
      <x:c r="M21" s="17" t="str"/>
      <x:c r="N21" s="17" t="str">
        <x:v>NO</x:v>
      </x:c>
      <x:c r="O21" s="17" t="str"/>
    </x:row>
    <x:row r="22" ht="42" customHeight="1">
      <x:c r="A22" s="17" t="str">
        <x:v>I-AI-18</x:v>
      </x:c>
      <x:c r="B22" s="17" t="str">
        <x:v>Whitespace-only name</x:v>
      </x:c>
      <x:c r="C22" s="17" t="str">
        <x:v>Gemini Pro candidate</x:v>
      </x:c>
      <x:c r="D22" s="17" t="str">
        <x:v>INCOMPLETE</x:v>
      </x:c>
      <x:c r="E22" s="17" t="str">
        <x:v>Trimming is unspecified.</x:v>
      </x:c>
      <x:c r="F22" s="17" t="str">
        <x:v>FR-15</x:v>
      </x:c>
      <x:c r="G22" s="17" t="str">
        <x:v>Robustness</x:v>
      </x:c>
      <x:c r="H22" s="17" t="str">
        <x:v>Medium</x:v>
      </x:c>
      <x:c r="I22" s="17" t="str">
        <x:v>OBSERVE</x:v>
      </x:c>
      <x:c r="J22" s="17" t="str">
        <x:v>{"authMode":"admin","expectedDelta":0,"payload":{"products":[{"name":" ","price":10000,"description":"Valid product description","imageUrl":"https://example.com/product.png","category_id":1}]}}</x:v>
      </x:c>
      <x:c r="K22" s="17" t="str"/>
      <x:c r="L22" s="17" t="str">
        <x:v>PASS</x:v>
      </x:c>
      <x:c r="M22" s="17" t="str"/>
      <x:c r="N22" s="17" t="str">
        <x:v>NO</x:v>
      </x:c>
      <x:c r="O22" s="17" t="str"/>
    </x:row>
    <x:row r="23" ht="42" customHeight="1">
      <x:c r="A23" s="17" t="str">
        <x:v>I-AI-19</x:v>
      </x:c>
      <x:c r="B23" s="17" t="str">
        <x:v>Name length one</x:v>
      </x:c>
      <x:c r="C23" s="17" t="str">
        <x:v>Gemini Pro candidate</x:v>
      </x:c>
      <x:c r="D23" s="17" t="str">
        <x:v>VALID</x:v>
      </x:c>
      <x:c r="E23" s="17" t="str">
        <x:v>Traceable to the supplied requirement and has a usable oracle.</x:v>
      </x:c>
      <x:c r="F23" s="17" t="str">
        <x:v>FR-15</x:v>
      </x:c>
      <x:c r="G23" s="17" t="str">
        <x:v>BVA</x:v>
      </x:c>
      <x:c r="H23" s="17" t="str">
        <x:v>Medium</x:v>
      </x:c>
      <x:c r="I23" s="17" t="str">
        <x:v>COMMIT</x:v>
      </x:c>
      <x:c r="J23" s="17" t="str">
        <x:v>{"authMode":"admin","expectedDelta":1,"payload":{"products":[{"name":"A","price":10000,"description":"Valid product description","imageUrl":"https://example.com/product.png","category_id":1}]}}</x:v>
      </x:c>
      <x:c r="K23" s="17" t="str"/>
      <x:c r="L23" s="17" t="str">
        <x:v>PASS</x:v>
      </x:c>
      <x:c r="M23" s="17" t="str"/>
      <x:c r="N23" s="17" t="str">
        <x:v>NO</x:v>
      </x:c>
      <x:c r="O23" s="17" t="str"/>
    </x:row>
    <x:row r="24" ht="42" customHeight="1">
      <x:c r="A24" s="17" t="str">
        <x:v>I-AI-20</x:v>
      </x:c>
      <x:c r="B24" s="17" t="str">
        <x:v>Name length 255</x:v>
      </x:c>
      <x:c r="C24" s="17" t="str">
        <x:v>Gemini Pro candidate</x:v>
      </x:c>
      <x:c r="D24" s="17" t="str">
        <x:v>VALID</x:v>
      </x:c>
      <x:c r="E24" s="17" t="str">
        <x:v>Traceable to the supplied requirement and has a usable oracle.</x:v>
      </x:c>
      <x:c r="F24" s="17" t="str">
        <x:v>FR-15</x:v>
      </x:c>
      <x:c r="G24" s="17" t="str">
        <x:v>BVA</x:v>
      </x:c>
      <x:c r="H24" s="17" t="str">
        <x:v>Medium</x:v>
      </x:c>
      <x:c r="I24" s="17" t="str">
        <x:v>COMMIT</x:v>
      </x:c>
      <x:c r="J24" s="17" t="str">
        <x:v>{"authMode":"admin","expectedDelta":1,"payload":{"products":[{"name":"AAAAAAAAAAAAAAAAAAAAAAAAAAAAAAAAAAAAAAAAAAAAAAAAAAAAAAAAAAAAAAAAAAAAAAAAAAAAAAAAAAAAAAAAAAAAAAAAAAAAAAAAAAAAAAAAAAAAAAAAAAAAAAAAAAAAAAAAAAAAAAAAAAAAAAAAAAAAAAAAAAAAAAAAAAAAAAAAAAAAAAAAAAAAAAAAAAAAAAAAAAAAAAAAAAAAAAAAAAAAAAAAAAAAAAAAAAAAAAAAAAAAAAAAAA…</x:v>
      </x:c>
      <x:c r="K24" s="17" t="str"/>
      <x:c r="L24" s="17" t="str">
        <x:v>PASS</x:v>
      </x:c>
      <x:c r="M24" s="17" t="str"/>
      <x:c r="N24" s="17" t="str">
        <x:v>NO</x:v>
      </x:c>
      <x:c r="O24" s="17" t="str"/>
    </x:row>
    <x:row r="25" ht="42" customHeight="1">
      <x:c r="A25" s="17" t="str">
        <x:v>I-AI-21</x:v>
      </x:c>
      <x:c r="B25" s="17" t="str">
        <x:v>Name length 256</x:v>
      </x:c>
      <x:c r="C25" s="17" t="str">
        <x:v>Gemini Pro candidate</x:v>
      </x:c>
      <x:c r="D25" s="17" t="str">
        <x:v>VALID</x:v>
      </x:c>
      <x:c r="E25" s="17" t="str">
        <x:v>Traceable to the supplied requirement and has a usable oracle.</x:v>
      </x:c>
      <x:c r="F25" s="17" t="str">
        <x:v>FR-15</x:v>
      </x:c>
      <x:c r="G25" s="17" t="str">
        <x:v>BVA</x:v>
      </x:c>
      <x:c r="H25" s="17" t="str">
        <x:v>High</x:v>
      </x:c>
      <x:c r="I25" s="17" t="str">
        <x:v>ROLLBACK</x:v>
      </x:c>
      <x:c r="J25" s="17" t="str">
        <x:v>{"authMode":"admin","expectedDelta":0,"payload":{"products":[{"name":"AAAAAAAAAAAAAAAAAAAAAAAAAAAAAAAAAAAAAAAAAAAAAAAAAAAAAAAAAAAAAAAAAAAAAAAAAAAAAAAAAAAAAAAAAAAAAAAAAAAAAAAAAAAAAAAAAAAAAAAAAAAAAAAAAAAAAAAAAAAAAAAAAAAAAAAAAAAAAAAAAAAAAAAAAAAAAAAAAAAAAAAAAAAAAAAAAAAAAAAAAAAAAAAAAAAAAAAAAAAAAAAAAAAAAAAAAAAAAAAAAAAAAAAAAA…</x:v>
      </x:c>
      <x:c r="K25" s="17" t="str"/>
      <x:c r="L25" s="17" t="str">
        <x:v>FAIL</x:v>
      </x:c>
      <x:c r="M25" s="17" t="str">
        <x:v>[I-AI-21] database snapshot is unchanged</x:v>
      </x:c>
      <x:c r="N25" s="17" t="str">
        <x:v>NO</x:v>
      </x:c>
      <x:c r="O25" s="17" t="str"/>
    </x:row>
    <x:row r="26" ht="42" customHeight="1">
      <x:c r="A26" s="17" t="str">
        <x:v>I-AI-22</x:v>
      </x:c>
      <x:c r="B26" s="17" t="str">
        <x:v>Missing price</x:v>
      </x:c>
      <x:c r="C26" s="17" t="str">
        <x:v>Gemini Pro candidate</x:v>
      </x:c>
      <x:c r="D26" s="17" t="str">
        <x:v>VALID</x:v>
      </x:c>
      <x:c r="E26" s="17" t="str">
        <x:v>Traceable to the supplied requirement and has a usable oracle.</x:v>
      </x:c>
      <x:c r="F26" s="17" t="str">
        <x:v>FR-15,FR-16</x:v>
      </x:c>
      <x:c r="G26" s="17" t="str">
        <x:v>EP</x:v>
      </x:c>
      <x:c r="H26" s="17" t="str">
        <x:v>Medium</x:v>
      </x:c>
      <x:c r="I26" s="17" t="str">
        <x:v>ROLLBACK</x:v>
      </x:c>
      <x:c r="J26" s="17" t="str">
        <x:v>{"authMode":"admin","expectedDelta":0,"payload":{"products":[{"name":"__CASE__ Product","description":"Valid product description","imageUrl":"https://example.com/product.png","category_id":1}]}}</x:v>
      </x:c>
      <x:c r="K26" s="17" t="str"/>
      <x:c r="L26" s="17" t="str">
        <x:v>FAIL</x:v>
      </x:c>
      <x:c r="M26" s="17" t="str">
        <x:v>[I-AI-22] database snapshot is unchanged</x:v>
      </x:c>
      <x:c r="N26" s="17" t="str">
        <x:v>NO</x:v>
      </x:c>
      <x:c r="O26" s="17" t="str"/>
    </x:row>
    <x:row r="27" ht="42" customHeight="1">
      <x:c r="A27" s="17" t="str">
        <x:v>I-AI-23</x:v>
      </x:c>
      <x:c r="B27" s="17" t="str">
        <x:v>Null price</x:v>
      </x:c>
      <x:c r="C27" s="17" t="str">
        <x:v>Gemini Pro candidate</x:v>
      </x:c>
      <x:c r="D27" s="17" t="str">
        <x:v>VALID</x:v>
      </x:c>
      <x:c r="E27" s="17" t="str">
        <x:v>Traceable to the supplied requirement and has a usable oracle.</x:v>
      </x:c>
      <x:c r="F27" s="17" t="str">
        <x:v>FR-15,FR-16</x:v>
      </x:c>
      <x:c r="G27" s="17" t="str">
        <x:v>BVA</x:v>
      </x:c>
      <x:c r="H27" s="17" t="str">
        <x:v>Medium</x:v>
      </x:c>
      <x:c r="I27" s="17" t="str">
        <x:v>ROLLBACK</x:v>
      </x:c>
      <x:c r="J27" s="17" t="str">
        <x:v>{"authMode":"admin","expectedDelta":0,"payload":{"products":[{"name":"__CASE__ Product","price":null,"description":"Valid product description","imageUrl":"https://example.com/product.png","category_id":1}]}}</x:v>
      </x:c>
      <x:c r="K27" s="17" t="str"/>
      <x:c r="L27" s="17" t="str">
        <x:v>FAIL</x:v>
      </x:c>
      <x:c r="M27" s="17" t="str">
        <x:v>[I-AI-23] database snapshot is unchanged</x:v>
      </x:c>
      <x:c r="N27" s="17" t="str">
        <x:v>NO</x:v>
      </x:c>
      <x:c r="O27" s="17" t="str"/>
    </x:row>
    <x:row r="28" ht="42" customHeight="1">
      <x:c r="A28" s="17" t="str">
        <x:v>I-AI-24</x:v>
      </x:c>
      <x:c r="B28" s="17" t="str">
        <x:v>Price zero</x:v>
      </x:c>
      <x:c r="C28" s="17" t="str">
        <x:v>Gemini Pro candidate</x:v>
      </x:c>
      <x:c r="D28" s="17" t="str">
        <x:v>VALID</x:v>
      </x:c>
      <x:c r="E28" s="17" t="str">
        <x:v>Traceable to the supplied requirement and has a usable oracle.</x:v>
      </x:c>
      <x:c r="F28" s="17" t="str">
        <x:v>FR-15,FR-16</x:v>
      </x:c>
      <x:c r="G28" s="17" t="str">
        <x:v>BVA</x:v>
      </x:c>
      <x:c r="H28" s="17" t="str">
        <x:v>High</x:v>
      </x:c>
      <x:c r="I28" s="17" t="str">
        <x:v>ROLLBACK</x:v>
      </x:c>
      <x:c r="J28" s="17" t="str">
        <x:v>{"authMode":"admin","expectedDelta":0,"payload":{"products":[{"name":"__CASE__ Product","price":0,"description":"Valid product description","imageUrl":"https://example.com/product.png","category_id":1}]}}</x:v>
      </x:c>
      <x:c r="K28" s="17" t="str"/>
      <x:c r="L28" s="17" t="str">
        <x:v>FAIL</x:v>
      </x:c>
      <x:c r="M28" s="17" t="str">
        <x:v>[I-AI-24] database snapshot is unchanged</x:v>
      </x:c>
      <x:c r="N28" s="17" t="str">
        <x:v>NO</x:v>
      </x:c>
      <x:c r="O28" s="17" t="str"/>
    </x:row>
    <x:row r="29" ht="42" customHeight="1">
      <x:c r="A29" s="17" t="str">
        <x:v>I-AI-25</x:v>
      </x:c>
      <x:c r="B29" s="17" t="str">
        <x:v>Negative price</x:v>
      </x:c>
      <x:c r="C29" s="17" t="str">
        <x:v>Gemini Pro candidate</x:v>
      </x:c>
      <x:c r="D29" s="17" t="str">
        <x:v>VALID</x:v>
      </x:c>
      <x:c r="E29" s="17" t="str">
        <x:v>Traceable to the supplied requirement and has a usable oracle.</x:v>
      </x:c>
      <x:c r="F29" s="17" t="str">
        <x:v>FR-15,FR-16</x:v>
      </x:c>
      <x:c r="G29" s="17" t="str">
        <x:v>BVA</x:v>
      </x:c>
      <x:c r="H29" s="17" t="str">
        <x:v>High</x:v>
      </x:c>
      <x:c r="I29" s="17" t="str">
        <x:v>ROLLBACK</x:v>
      </x:c>
      <x:c r="J29" s="17" t="str">
        <x:v>{"authMode":"admin","expectedDelta":0,"payload":{"products":[{"name":"__CASE__ Product","price":-100,"description":"Valid product description","imageUrl":"https://example.com/product.png","category_id":1}]}}</x:v>
      </x:c>
      <x:c r="K29" s="17" t="str"/>
      <x:c r="L29" s="17" t="str">
        <x:v>FAIL</x:v>
      </x:c>
      <x:c r="M29" s="17" t="str">
        <x:v>[I-AI-25] database snapshot is unchanged</x:v>
      </x:c>
      <x:c r="N29" s="17" t="str">
        <x:v>NO</x:v>
      </x:c>
      <x:c r="O29" s="17" t="str"/>
    </x:row>
    <x:row r="30" ht="42" customHeight="1">
      <x:c r="A30" s="17" t="str">
        <x:v>I-AI-26</x:v>
      </x:c>
      <x:c r="B30" s="17" t="str">
        <x:v>Minimum positive price</x:v>
      </x:c>
      <x:c r="C30" s="17" t="str">
        <x:v>Gemini Pro candidate</x:v>
      </x:c>
      <x:c r="D30" s="17" t="str">
        <x:v>VALID</x:v>
      </x:c>
      <x:c r="E30" s="17" t="str">
        <x:v>Traceable to the supplied requirement and has a usable oracle.</x:v>
      </x:c>
      <x:c r="F30" s="17" t="str">
        <x:v>FR-15,FR-16</x:v>
      </x:c>
      <x:c r="G30" s="17" t="str">
        <x:v>BVA</x:v>
      </x:c>
      <x:c r="H30" s="17" t="str">
        <x:v>Medium</x:v>
      </x:c>
      <x:c r="I30" s="17" t="str">
        <x:v>COMMIT</x:v>
      </x:c>
      <x:c r="J30" s="17" t="str">
        <x:v>{"authMode":"admin","expectedDelta":1,"payload":{"products":[{"name":"__CASE__ Product","price":1,"description":"Valid product description","imageUrl":"https://example.com/product.png","category_id":1}]}}</x:v>
      </x:c>
      <x:c r="K30" s="17" t="str"/>
      <x:c r="L30" s="17" t="str">
        <x:v>PASS</x:v>
      </x:c>
      <x:c r="M30" s="17" t="str"/>
      <x:c r="N30" s="17" t="str">
        <x:v>NO</x:v>
      </x:c>
      <x:c r="O30" s="17" t="str"/>
    </x:row>
    <x:row r="31" ht="42" customHeight="1">
      <x:c r="A31" s="17" t="str">
        <x:v>I-AI-27</x:v>
      </x:c>
      <x:c r="B31" s="17" t="str">
        <x:v>Positive floating price</x:v>
      </x:c>
      <x:c r="C31" s="17" t="str">
        <x:v>Gemini Pro candidate</x:v>
      </x:c>
      <x:c r="D31" s="17" t="str">
        <x:v>INVALID</x:v>
      </x:c>
      <x:c r="E31" s="17" t="str">
        <x:v>AI marked this observational despite the stated numeric &gt;0 rule; corrected to commit.</x:v>
      </x:c>
      <x:c r="F31" s="17" t="str">
        <x:v>FR-15</x:v>
      </x:c>
      <x:c r="G31" s="17" t="str">
        <x:v>EP</x:v>
      </x:c>
      <x:c r="H31" s="17" t="str">
        <x:v>Medium</x:v>
      </x:c>
      <x:c r="I31" s="17" t="str">
        <x:v>COMMIT</x:v>
      </x:c>
      <x:c r="J31" s="17" t="str">
        <x:v>{"authMode":"admin","expectedDelta":1,"payload":{"products":[{"name":"__CASE__ Product","price":10.55,"description":"Valid product description","imageUrl":"https://example.com/product.png","category_id":1}]}}</x:v>
      </x:c>
      <x:c r="K31" s="17" t="str"/>
      <x:c r="L31" s="17" t="str">
        <x:v>PASS</x:v>
      </x:c>
      <x:c r="M31" s="17" t="str"/>
      <x:c r="N31" s="17" t="str">
        <x:v>NO</x:v>
      </x:c>
      <x:c r="O31" s="17" t="str"/>
    </x:row>
    <x:row r="32" ht="42" customHeight="1">
      <x:c r="A32" s="17" t="str">
        <x:v>I-AI-28</x:v>
      </x:c>
      <x:c r="B32" s="17" t="str">
        <x:v>Numeric-string price</x:v>
      </x:c>
      <x:c r="C32" s="17" t="str">
        <x:v>Gemini Pro candidate</x:v>
      </x:c>
      <x:c r="D32" s="17" t="str">
        <x:v>INCOMPLETE</x:v>
      </x:c>
      <x:c r="E32" s="17" t="str">
        <x:v>JSON coercion is unspecified.</x:v>
      </x:c>
      <x:c r="F32" s="17" t="str">
        <x:v>FR-15</x:v>
      </x:c>
      <x:c r="G32" s="17" t="str">
        <x:v>Robustness</x:v>
      </x:c>
      <x:c r="H32" s="17" t="str">
        <x:v>Medium</x:v>
      </x:c>
      <x:c r="I32" s="17" t="str">
        <x:v>OBSERVE</x:v>
      </x:c>
      <x:c r="J32" s="17" t="str">
        <x:v>{"authMode":"admin","expectedDelta":0,"payload":{"products":[{"name":"__CASE__ Product","price":"100","description":"Valid product description","imageUrl":"https://example.com/product.png","category_id":1}]}}</x:v>
      </x:c>
      <x:c r="K32" s="17" t="str"/>
      <x:c r="L32" s="17" t="str">
        <x:v>PASS</x:v>
      </x:c>
      <x:c r="M32" s="17" t="str"/>
      <x:c r="N32" s="17" t="str">
        <x:v>NO</x:v>
      </x:c>
      <x:c r="O32" s="17" t="str"/>
    </x:row>
    <x:row r="33" ht="42" customHeight="1">
      <x:c r="A33" s="17" t="str">
        <x:v>I-AI-29</x:v>
      </x:c>
      <x:c r="B33" s="17" t="str">
        <x:v>Extreme positive price</x:v>
      </x:c>
      <x:c r="C33" s="17" t="str">
        <x:v>Gemini Pro candidate</x:v>
      </x:c>
      <x:c r="D33" s="17" t="str">
        <x:v>INCOMPLETE</x:v>
      </x:c>
      <x:c r="E33" s="17" t="str">
        <x:v>No maximum is specified.</x:v>
      </x:c>
      <x:c r="F33" s="17" t="str">
        <x:v>FR-15</x:v>
      </x:c>
      <x:c r="G33" s="17" t="str">
        <x:v>Robustness</x:v>
      </x:c>
      <x:c r="H33" s="17" t="str">
        <x:v>Medium</x:v>
      </x:c>
      <x:c r="I33" s="17" t="str">
        <x:v>OBSERVE</x:v>
      </x:c>
      <x:c r="J33" s="17" t="str">
        <x:v>{"authMode":"admin","expectedDelta":0,"payload":{"products":[{"name":"__CASE__ Product","price":9999999999,"description":"Valid product description","imageUrl":"https://example.com/product.png","category_id":1}]}}</x:v>
      </x:c>
      <x:c r="K33" s="17" t="str"/>
      <x:c r="L33" s="17" t="str">
        <x:v>PASS</x:v>
      </x:c>
      <x:c r="M33" s="17" t="str"/>
      <x:c r="N33" s="17" t="str">
        <x:v>NO</x:v>
      </x:c>
      <x:c r="O33" s="17" t="str"/>
    </x:row>
    <x:row r="34" ht="42" customHeight="1">
      <x:c r="A34" s="17" t="str">
        <x:v>I-AI-30</x:v>
      </x:c>
      <x:c r="B34" s="17" t="str">
        <x:v>Missing category_id</x:v>
      </x:c>
      <x:c r="C34" s="17" t="str">
        <x:v>Gemini Pro candidate</x:v>
      </x:c>
      <x:c r="D34" s="17" t="str">
        <x:v>VALID</x:v>
      </x:c>
      <x:c r="E34" s="17" t="str">
        <x:v>Traceable to the supplied requirement and has a usable oracle.</x:v>
      </x:c>
      <x:c r="F34" s="17" t="str">
        <x:v>FR-15</x:v>
      </x:c>
      <x:c r="G34" s="17" t="str">
        <x:v>EP</x:v>
      </x:c>
      <x:c r="H34" s="17" t="str">
        <x:v>Medium</x:v>
      </x:c>
      <x:c r="I34" s="17" t="str">
        <x:v>ROLLBACK</x:v>
      </x:c>
      <x:c r="J34" s="17" t="str">
        <x:v>{"authMode":"admin","expectedDelta":0,"payload":{"products":[{"name":"__CASE__ Product","price":10000,"description":"Valid product description","imageUrl":"https://example.com/product.png"}]}}</x:v>
      </x:c>
      <x:c r="K34" s="17" t="str"/>
      <x:c r="L34" s="17" t="str">
        <x:v>FAIL</x:v>
      </x:c>
      <x:c r="M34" s="17" t="str">
        <x:v>[I-AI-30] database snapshot is unchanged</x:v>
      </x:c>
      <x:c r="N34" s="17" t="str">
        <x:v>NO</x:v>
      </x:c>
      <x:c r="O34" s="17" t="str"/>
    </x:row>
    <x:row r="35" ht="42" customHeight="1">
      <x:c r="A35" s="17" t="str">
        <x:v>I-AI-31</x:v>
      </x:c>
      <x:c r="B35" s="17" t="str">
        <x:v>Null category_id</x:v>
      </x:c>
      <x:c r="C35" s="17" t="str">
        <x:v>Gemini Pro candidate</x:v>
      </x:c>
      <x:c r="D35" s="17" t="str">
        <x:v>VALID</x:v>
      </x:c>
      <x:c r="E35" s="17" t="str">
        <x:v>Traceable to the supplied requirement and has a usable oracle.</x:v>
      </x:c>
      <x:c r="F35" s="17" t="str">
        <x:v>FR-15</x:v>
      </x:c>
      <x:c r="G35" s="17" t="str">
        <x:v>BVA</x:v>
      </x:c>
      <x:c r="H35" s="17" t="str">
        <x:v>Medium</x:v>
      </x:c>
      <x:c r="I35" s="17" t="str">
        <x:v>ROLLBACK</x:v>
      </x:c>
      <x:c r="J35" s="17" t="str">
        <x:v>{"authMode":"admin","expectedDelta":0,"payload":{"products":[{"name":"__CASE__ Product","price":10000,"description":"Valid product description","imageUrl":"https://example.com/product.png","category_id":null}]}}</x:v>
      </x:c>
      <x:c r="K35" s="17" t="str"/>
      <x:c r="L35" s="17" t="str">
        <x:v>FAIL</x:v>
      </x:c>
      <x:c r="M35" s="17" t="str">
        <x:v>[I-AI-31] database snapshot is unchanged</x:v>
      </x:c>
      <x:c r="N35" s="17" t="str">
        <x:v>NO</x:v>
      </x:c>
      <x:c r="O35" s="17" t="str"/>
    </x:row>
    <x:row r="36" ht="42" customHeight="1">
      <x:c r="A36" s="17" t="str">
        <x:v>I-AI-32</x:v>
      </x:c>
      <x:c r="B36" s="17" t="str">
        <x:v>Nonexistent category_id</x:v>
      </x:c>
      <x:c r="C36" s="17" t="str">
        <x:v>Gemini Pro candidate</x:v>
      </x:c>
      <x:c r="D36" s="17" t="str">
        <x:v>VALID</x:v>
      </x:c>
      <x:c r="E36" s="17" t="str">
        <x:v>Traceable to the supplied requirement and has a usable oracle.</x:v>
      </x:c>
      <x:c r="F36" s="17" t="str">
        <x:v>FR-15</x:v>
      </x:c>
      <x:c r="G36" s="17" t="str">
        <x:v>EP</x:v>
      </x:c>
      <x:c r="H36" s="17" t="str">
        <x:v>High</x:v>
      </x:c>
      <x:c r="I36" s="17" t="str">
        <x:v>ROLLBACK</x:v>
      </x:c>
      <x:c r="J36" s="17" t="str">
        <x:v>{"authMode":"admin","expectedDelta":0,"payload":{"products":[{"name":"__CASE__ Product","price":10000,"description":"Valid product description","imageUrl":"https://example.com/product.png","category_id":999999}]}}</x:v>
      </x:c>
      <x:c r="K36" s="17" t="str"/>
      <x:c r="L36" s="17" t="str">
        <x:v>FAIL</x:v>
      </x:c>
      <x:c r="M36" s="17" t="str">
        <x:v>[I-AI-32] database snapshot is unchanged</x:v>
      </x:c>
      <x:c r="N36" s="17" t="str">
        <x:v>NO</x:v>
      </x:c>
      <x:c r="O36" s="17" t="str"/>
    </x:row>
    <x:row r="37" ht="42" customHeight="1">
      <x:c r="A37" s="17" t="str">
        <x:v>I-AI-33</x:v>
      </x:c>
      <x:c r="B37" s="17" t="str">
        <x:v>Negative category_id</x:v>
      </x:c>
      <x:c r="C37" s="17" t="str">
        <x:v>Gemini Pro candidate</x:v>
      </x:c>
      <x:c r="D37" s="17" t="str">
        <x:v>VALID</x:v>
      </x:c>
      <x:c r="E37" s="17" t="str">
        <x:v>Traceable to the supplied requirement and has a usable oracle.</x:v>
      </x:c>
      <x:c r="F37" s="17" t="str">
        <x:v>FR-15</x:v>
      </x:c>
      <x:c r="G37" s="17" t="str">
        <x:v>BVA</x:v>
      </x:c>
      <x:c r="H37" s="17" t="str">
        <x:v>Medium</x:v>
      </x:c>
      <x:c r="I37" s="17" t="str">
        <x:v>ROLLBACK</x:v>
      </x:c>
      <x:c r="J37" s="17" t="str">
        <x:v>{"authMode":"admin","expectedDelta":0,"payload":{"products":[{"name":"__CASE__ Product","price":10000,"description":"Valid product description","imageUrl":"https://example.com/product.png","category_id":-1}]}}</x:v>
      </x:c>
      <x:c r="K37" s="17" t="str"/>
      <x:c r="L37" s="17" t="str">
        <x:v>FAIL</x:v>
      </x:c>
      <x:c r="M37" s="17" t="str">
        <x:v>[I-AI-33] database snapshot is unchanged</x:v>
      </x:c>
      <x:c r="N37" s="17" t="str">
        <x:v>NO</x:v>
      </x:c>
      <x:c r="O37" s="17" t="str"/>
    </x:row>
    <x:row r="38" ht="42" customHeight="1">
      <x:c r="A38" s="17" t="str">
        <x:v>I-AI-34</x:v>
      </x:c>
      <x:c r="B38" s="17" t="str">
        <x:v>String category_id</x:v>
      </x:c>
      <x:c r="C38" s="17" t="str">
        <x:v>Gemini Pro candidate</x:v>
      </x:c>
      <x:c r="D38" s="17" t="str">
        <x:v>INCOMPLETE</x:v>
      </x:c>
      <x:c r="E38" s="17" t="str">
        <x:v>JSON coercion is unspecified.</x:v>
      </x:c>
      <x:c r="F38" s="17" t="str">
        <x:v>FR-15</x:v>
      </x:c>
      <x:c r="G38" s="17" t="str">
        <x:v>Robustness</x:v>
      </x:c>
      <x:c r="H38" s="17" t="str">
        <x:v>Medium</x:v>
      </x:c>
      <x:c r="I38" s="17" t="str">
        <x:v>OBSERVE</x:v>
      </x:c>
      <x:c r="J38" s="17" t="str">
        <x:v>{"authMode":"admin","expectedDelta":0,"payload":{"products":[{"name":"__CASE__ Product","price":10000,"description":"Valid product description","imageUrl":"https://example.com/product.png","category_id":"1"}]}}</x:v>
      </x:c>
      <x:c r="K38" s="17" t="str"/>
      <x:c r="L38" s="17" t="str">
        <x:v>PASS</x:v>
      </x:c>
      <x:c r="M38" s="17" t="str"/>
      <x:c r="N38" s="17" t="str">
        <x:v>NO</x:v>
      </x:c>
      <x:c r="O38" s="17" t="str"/>
    </x:row>
    <x:row r="39" ht="42" customHeight="1">
      <x:c r="A39" s="17" t="str">
        <x:v>I-AI-35</x:v>
      </x:c>
      <x:c r="B39" s="17" t="str">
        <x:v>Omitted description</x:v>
      </x:c>
      <x:c r="C39" s="17" t="str">
        <x:v>Gemini Pro candidate</x:v>
      </x:c>
      <x:c r="D39" s="17" t="str">
        <x:v>INCOMPLETE</x:v>
      </x:c>
      <x:c r="E39" s="17" t="str">
        <x:v>Optional-field behavior is unspecified.</x:v>
      </x:c>
      <x:c r="F39" s="17" t="str">
        <x:v>FR-16</x:v>
      </x:c>
      <x:c r="G39" s="17" t="str">
        <x:v>EP</x:v>
      </x:c>
      <x:c r="H39" s="17" t="str">
        <x:v>Medium</x:v>
      </x:c>
      <x:c r="I39" s="17" t="str">
        <x:v>OBSERVE</x:v>
      </x:c>
      <x:c r="J39" s="17" t="str">
        <x:v>{"authMode":"admin","expectedDelta":0,"payload":{"products":[{"name":"__CASE__ Product","price":10000,"imageUrl":"https://example.com/product.png","category_id":1}]}}</x:v>
      </x:c>
      <x:c r="K39" s="17" t="str"/>
      <x:c r="L39" s="17" t="str">
        <x:v>PASS</x:v>
      </x:c>
      <x:c r="M39" s="17" t="str"/>
      <x:c r="N39" s="17" t="str">
        <x:v>NO</x:v>
      </x:c>
      <x:c r="O39" s="17" t="str"/>
    </x:row>
    <x:row r="40" ht="42" customHeight="1">
      <x:c r="A40" s="17" t="str">
        <x:v>I-AI-36</x:v>
      </x:c>
      <x:c r="B40" s="17" t="str">
        <x:v>Omitted imageUrl</x:v>
      </x:c>
      <x:c r="C40" s="17" t="str">
        <x:v>Gemini Pro candidate</x:v>
      </x:c>
      <x:c r="D40" s="17" t="str">
        <x:v>INCOMPLETE</x:v>
      </x:c>
      <x:c r="E40" s="17" t="str">
        <x:v>Optional-field behavior is unspecified.</x:v>
      </x:c>
      <x:c r="F40" s="17" t="str">
        <x:v>FR-16</x:v>
      </x:c>
      <x:c r="G40" s="17" t="str">
        <x:v>EP</x:v>
      </x:c>
      <x:c r="H40" s="17" t="str">
        <x:v>Medium</x:v>
      </x:c>
      <x:c r="I40" s="17" t="str">
        <x:v>OBSERVE</x:v>
      </x:c>
      <x:c r="J40" s="17" t="str">
        <x:v>{"authMode":"admin","expectedDelta":0,"payload":{"products":[{"name":"__CASE__ Product","price":10000,"description":"Valid product description","category_id":1}]}}</x:v>
      </x:c>
      <x:c r="K40" s="17" t="str"/>
      <x:c r="L40" s="17" t="str">
        <x:v>PASS</x:v>
      </x:c>
      <x:c r="M40" s="17" t="str"/>
      <x:c r="N40" s="17" t="str">
        <x:v>NO</x:v>
      </x:c>
      <x:c r="O40" s="17" t="str"/>
    </x:row>
    <x:row r="41" ht="42" customHeight="1">
      <x:c r="A41" s="17" t="str">
        <x:v>I-AI-37</x:v>
      </x:c>
      <x:c r="B41" s="17" t="str">
        <x:v>Very long description</x:v>
      </x:c>
      <x:c r="C41" s="17" t="str">
        <x:v>Gemini Pro candidate</x:v>
      </x:c>
      <x:c r="D41" s="17" t="str">
        <x:v>INCOMPLETE</x:v>
      </x:c>
      <x:c r="E41" s="17" t="str">
        <x:v>No description maximum is specified.</x:v>
      </x:c>
      <x:c r="F41" s="17" t="str">
        <x:v>Robustness</x:v>
      </x:c>
      <x:c r="G41" s="17" t="str">
        <x:v>Stress</x:v>
      </x:c>
      <x:c r="H41" s="17" t="str">
        <x:v>Medium</x:v>
      </x:c>
      <x:c r="I41" s="17" t="str">
        <x:v>OBSERVE</x:v>
      </x:c>
      <x:c r="J41" s="17" t="str">
        <x:v>{"authMode":"admin","expectedDelta":0,"payload":{"products":[{"name":"__CASE__ Product","price":10000,"description":"DDDDDDDDDDDDDDDDDDDDDDDDDDDDDDDDDDDDDDDDDDDDDDDDDDDDDDDDDDDDDDDDDDDDDDDDDDDDDDDDDDDDDDDDDDDDDDDDDDDDDDDDDDDDDDDDDDDDDDDDDDDDDDDDDDDDDDDDDDDDDDDDDDDDDDDDDDDDDDDDDDDDDDDDDDDDDDDDDDDDDDDDDDDDDDDDDDDDDDDDDDD…</x:v>
      </x:c>
      <x:c r="K41" s="17" t="str"/>
      <x:c r="L41" s="17" t="str">
        <x:v>PASS</x:v>
      </x:c>
      <x:c r="M41" s="17" t="str"/>
      <x:c r="N41" s="17" t="str">
        <x:v>NO</x:v>
      </x:c>
      <x:c r="O41" s="17" t="str"/>
    </x:row>
    <x:row r="42" ht="42" customHeight="1">
      <x:c r="A42" s="17" t="str">
        <x:v>I-AI-38</x:v>
      </x:c>
      <x:c r="B42" s="17" t="str">
        <x:v>Malformed imageUrl</x:v>
      </x:c>
      <x:c r="C42" s="17" t="str">
        <x:v>Gemini Pro candidate</x:v>
      </x:c>
      <x:c r="D42" s="17" t="str">
        <x:v>INCOMPLETE</x:v>
      </x:c>
      <x:c r="E42" s="17" t="str">
        <x:v>URL validation is unspecified.</x:v>
      </x:c>
      <x:c r="F42" s="17" t="str">
        <x:v>FR-16</x:v>
      </x:c>
      <x:c r="G42" s="17" t="str">
        <x:v>Robustness</x:v>
      </x:c>
      <x:c r="H42" s="17" t="str">
        <x:v>Medium</x:v>
      </x:c>
      <x:c r="I42" s="17" t="str">
        <x:v>OBSERVE</x:v>
      </x:c>
      <x:c r="J42" s="17" t="str">
        <x:v>{"authMode":"admin","expectedDelta":0,"payload":{"products":[{"name":"__CASE__ Product","price":10000,"description":"Valid product description","imageUrl":"not-a-url","category_id":1}]}}</x:v>
      </x:c>
      <x:c r="K42" s="17" t="str"/>
      <x:c r="L42" s="17" t="str">
        <x:v>PASS</x:v>
      </x:c>
      <x:c r="M42" s="17" t="str"/>
      <x:c r="N42" s="17" t="str">
        <x:v>NO</x:v>
      </x:c>
      <x:c r="O42" s="17" t="str"/>
    </x:row>
    <x:row r="43" ht="42" customHeight="1">
      <x:c r="A43" s="17" t="str">
        <x:v>I-AI-39</x:v>
      </x:c>
      <x:c r="B43" s="17" t="str">
        <x:v>HTML script literal in description</x:v>
      </x:c>
      <x:c r="C43" s="17" t="str">
        <x:v>Gemini Pro candidate</x:v>
      </x:c>
      <x:c r="D43" s="17" t="str">
        <x:v>INCOMPLETE</x:v>
      </x:c>
      <x:c r="E43" s="17" t="str">
        <x:v>API storage can be checked; safe UI rendering requires a separate end-to-end review.</x:v>
      </x:c>
      <x:c r="F43" s="17" t="str">
        <x:v>SEC-04</x:v>
      </x:c>
      <x:c r="G43" s="17" t="str">
        <x:v>Security</x:v>
      </x:c>
      <x:c r="H43" s="17" t="str">
        <x:v>Medium</x:v>
      </x:c>
      <x:c r="I43" s="17" t="str">
        <x:v>COMMIT</x:v>
      </x:c>
      <x:c r="J43" s="17" t="str">
        <x:v>{"authMode":"admin","expectedDelta":1,"payload":{"products":[{"name":"__CASE__ Product","price":10000,"description":"&lt;script&gt;window.__xss=1&lt;/script&gt;","imageUrl":"https://example.com/product.png","category_id":1}]}}</x:v>
      </x:c>
      <x:c r="K43" s="17" t="str"/>
      <x:c r="L43" s="17" t="str">
        <x:v>PASS</x:v>
      </x:c>
      <x:c r="M43" s="17" t="str"/>
      <x:c r="N43" s="17" t="str">
        <x:v>NO</x:v>
      </x:c>
      <x:c r="O43" s="17" t="str"/>
    </x:row>
    <x:row r="44" ht="42" customHeight="1">
      <x:c r="A44" s="17" t="str">
        <x:v>I-AI-40</x:v>
      </x:c>
      <x:c r="B44" s="17" t="str">
        <x:v>Invalid first row rolls back all rows</x:v>
      </x:c>
      <x:c r="C44" s="17" t="str">
        <x:v>Gemini Pro candidate</x:v>
      </x:c>
      <x:c r="D44" s="17" t="str">
        <x:v>VALID</x:v>
      </x:c>
      <x:c r="E44" s="17" t="str">
        <x:v>Traceable to the supplied requirement and has a usable oracle.</x:v>
      </x:c>
      <x:c r="F44" s="17" t="str">
        <x:v>FR-16</x:v>
      </x:c>
      <x:c r="G44" s="17" t="str">
        <x:v>State</x:v>
      </x:c>
      <x:c r="H44" s="17" t="str">
        <x:v>High</x:v>
      </x:c>
      <x:c r="I44" s="17" t="str">
        <x:v>ROLLBACK</x:v>
      </x:c>
      <x:c r="J44" s="17" t="str">
        <x:v>{"authMode":"admin","expectedDelta":0,"payload":{"products":[{"name":"__CASE__ Bad","price":0,"description":"Valid product description","imageUrl":"https://example.com/product.png","category_id":1},{"name":"__CASE__ Good 1","price":10000,"description":"Valid product description","imageUrl":"https://example.com/product.…</x:v>
      </x:c>
      <x:c r="K44" s="17" t="str"/>
      <x:c r="L44" s="17" t="str">
        <x:v>FAIL</x:v>
      </x:c>
      <x:c r="M44" s="17" t="str">
        <x:v>[I-AI-40] database snapshot is unchanged</x:v>
      </x:c>
      <x:c r="N44" s="17" t="str">
        <x:v>NO</x:v>
      </x:c>
      <x:c r="O44" s="17" t="str"/>
    </x:row>
    <x:row r="45" ht="42" customHeight="1">
      <x:c r="A45" s="17" t="str">
        <x:v>I-AI-41</x:v>
      </x:c>
      <x:c r="B45" s="17" t="str">
        <x:v>Invalid middle row rolls back all rows</x:v>
      </x:c>
      <x:c r="C45" s="17" t="str">
        <x:v>Gemini Pro candidate</x:v>
      </x:c>
      <x:c r="D45" s="17" t="str">
        <x:v>VALID</x:v>
      </x:c>
      <x:c r="E45" s="17" t="str">
        <x:v>Traceable to the supplied requirement and has a usable oracle.</x:v>
      </x:c>
      <x:c r="F45" s="17" t="str">
        <x:v>FR-16</x:v>
      </x:c>
      <x:c r="G45" s="17" t="str">
        <x:v>State</x:v>
      </x:c>
      <x:c r="H45" s="17" t="str">
        <x:v>High</x:v>
      </x:c>
      <x:c r="I45" s="17" t="str">
        <x:v>ROLLBACK</x:v>
      </x:c>
      <x:c r="J45" s="17" t="str">
        <x:v>{"authMode":"admin","expectedDelta":0,"payload":{"products":[{"name":"__CASE__ Good 1","price":10000,"description":"Valid product description","imageUrl":"https://example.com/product.png","category_id":1},{"name":"","price":10000,"description":"Valid product description","imageUrl":"https://example.com/product.png","ca…</x:v>
      </x:c>
      <x:c r="K45" s="17" t="str"/>
      <x:c r="L45" s="17" t="str">
        <x:v>FAIL</x:v>
      </x:c>
      <x:c r="M45" s="17" t="str">
        <x:v>[I-AI-41] database snapshot is unchanged</x:v>
      </x:c>
      <x:c r="N45" s="17" t="str">
        <x:v>NO</x:v>
      </x:c>
      <x:c r="O45" s="17" t="str"/>
    </x:row>
    <x:row r="46" ht="42" customHeight="1">
      <x:c r="A46" s="17" t="str">
        <x:v>I-AI-42</x:v>
      </x:c>
      <x:c r="B46" s="17" t="str">
        <x:v>Invalid last row rolls back all rows</x:v>
      </x:c>
      <x:c r="C46" s="17" t="str">
        <x:v>Gemini Pro candidate</x:v>
      </x:c>
      <x:c r="D46" s="17" t="str">
        <x:v>VALID</x:v>
      </x:c>
      <x:c r="E46" s="17" t="str">
        <x:v>Traceable to the supplied requirement and has a usable oracle.</x:v>
      </x:c>
      <x:c r="F46" s="17" t="str">
        <x:v>FR-16</x:v>
      </x:c>
      <x:c r="G46" s="17" t="str">
        <x:v>State</x:v>
      </x:c>
      <x:c r="H46" s="17" t="str">
        <x:v>High</x:v>
      </x:c>
      <x:c r="I46" s="17" t="str">
        <x:v>ROLLBACK</x:v>
      </x:c>
      <x:c r="J46" s="17" t="str">
        <x:v>{"authMode":"admin","expectedDelta":0,"payload":{"products":[{"name":"__CASE__ Good 1","price":10000,"description":"Valid product description","imageUrl":"https://example.com/product.png","category_id":1},{"name":"__CASE__ Good 2","price":10000,"description":"Valid product description","imageUrl":"https://example.com/p…</x:v>
      </x:c>
      <x:c r="K46" s="17" t="str"/>
      <x:c r="L46" s="17" t="str">
        <x:v>FAIL</x:v>
      </x:c>
      <x:c r="M46" s="17" t="str">
        <x:v>[I-AI-42] database snapshot is unchanged</x:v>
      </x:c>
      <x:c r="N46" s="17" t="str">
        <x:v>NO</x:v>
      </x:c>
      <x:c r="O46" s="17" t="str"/>
    </x:row>
    <x:row r="47" ht="42" customHeight="1">
      <x:c r="A47" s="17" t="str">
        <x:v>I-AI-43</x:v>
      </x:c>
      <x:c r="B47" s="17" t="str">
        <x:v>SQL-looking literal product name</x:v>
      </x:c>
      <x:c r="C47" s="17" t="str">
        <x:v>Gemini Pro candidate</x:v>
      </x:c>
      <x:c r="D47" s="17" t="str">
        <x:v>INCOMPLETE</x:v>
      </x:c>
      <x:c r="E47" s="17" t="str">
        <x:v>Black-box literal handling is evidence but source review is needed to prove parameterization.</x:v>
      </x:c>
      <x:c r="F47" s="17" t="str">
        <x:v>SEC-05</x:v>
      </x:c>
      <x:c r="G47" s="17" t="str">
        <x:v>Security</x:v>
      </x:c>
      <x:c r="H47" s="17" t="str">
        <x:v>Medium</x:v>
      </x:c>
      <x:c r="I47" s="17" t="str">
        <x:v>COMMIT</x:v>
      </x:c>
      <x:c r="J47" s="17" t="str">
        <x:v>{"authMode":"admin","expectedDelta":1,"payload":{"products":[{"name":"' OR 1=1; --","price":10000,"description":"Valid product description","imageUrl":"https://example.com/product.png","category_id":1}]}}</x:v>
      </x:c>
      <x:c r="K47" s="17" t="str"/>
      <x:c r="L47" s="17" t="str">
        <x:v>PASS</x:v>
      </x:c>
      <x:c r="M47" s="17" t="str"/>
      <x:c r="N47" s="17" t="str">
        <x:v>NO</x:v>
      </x:c>
      <x:c r="O47" s="17" t="str"/>
    </x:row>
    <x:row r="48" ht="42" customHeight="1">
      <x:c r="A48" s="17" t="str">
        <x:v>I-AI-44</x:v>
      </x:c>
      <x:c r="B48" s="17" t="str">
        <x:v>Extra product property</x:v>
      </x:c>
      <x:c r="C48" s="17" t="str">
        <x:v>Gemini Pro candidate</x:v>
      </x:c>
      <x:c r="D48" s="17" t="str">
        <x:v>INCOMPLETE</x:v>
      </x:c>
      <x:c r="E48" s="17" t="str">
        <x:v>Extra-property handling is unspecified.</x:v>
      </x:c>
      <x:c r="F48" s="17" t="str">
        <x:v>Schema</x:v>
      </x:c>
      <x:c r="G48" s="17" t="str">
        <x:v>Robustness</x:v>
      </x:c>
      <x:c r="H48" s="17" t="str">
        <x:v>Medium</x:v>
      </x:c>
      <x:c r="I48" s="17" t="str">
        <x:v>OBSERVE</x:v>
      </x:c>
      <x:c r="J48" s="17" t="str">
        <x:v>{"authMode":"admin","expectedDelta":0,"payload":{"products":[{"name":"__CASE__ Product","price":10000,"description":"Valid product description","imageUrl":"https://example.com/product.png","category_id":1,"hack":true}]}}</x:v>
      </x:c>
      <x:c r="K48" s="17" t="str"/>
      <x:c r="L48" s="17" t="str">
        <x:v>PASS</x:v>
      </x:c>
      <x:c r="M48" s="17" t="str"/>
      <x:c r="N48" s="17" t="str">
        <x:v>NO</x:v>
      </x:c>
      <x:c r="O48" s="17" t="str"/>
    </x:row>
    <x:row r="49" ht="42" customHeight="1">
      <x:c r="A49" s="17" t="str">
        <x:v>I-AI-45</x:v>
      </x:c>
      <x:c r="B49" s="17" t="str">
        <x:v>Malformed top-level JSON</x:v>
      </x:c>
      <x:c r="C49" s="17" t="str">
        <x:v>Gemini Pro candidate</x:v>
      </x:c>
      <x:c r="D49" s="17" t="str">
        <x:v>VALID</x:v>
      </x:c>
      <x:c r="E49" s="17" t="str">
        <x:v>Traceable to the supplied requirement and has a usable oracle.</x:v>
      </x:c>
      <x:c r="F49" s="17" t="str">
        <x:v>Schema</x:v>
      </x:c>
      <x:c r="G49" s="17" t="str">
        <x:v>Negative</x:v>
      </x:c>
      <x:c r="H49" s="17" t="str">
        <x:v>Medium</x:v>
      </x:c>
      <x:c r="I49" s="17" t="str">
        <x:v>REJECT_AT_VALIDATION</x:v>
      </x:c>
      <x:c r="J49" s="17" t="str">
        <x:v>{"authMode":"admin","expectedDelta":0,"rawBody":"{\"products\":["}</x:v>
      </x:c>
      <x:c r="K49" s="17" t="str"/>
      <x:c r="L49" s="17" t="str">
        <x:v>FAIL</x:v>
      </x:c>
      <x:c r="M49" s="17" t="str">
        <x:v>[I-AI-45] response has no stack/database leak</x:v>
      </x:c>
      <x:c r="N49" s="17" t="str">
        <x:v>NO</x:v>
      </x:c>
      <x:c r="O49" s="17" t="str"/>
    </x:row>
    <x:row r="50" ht="42" customHeight="1">
      <x:c r="A50" s="17" t="str">
        <x:v>I-AI-46</x:v>
      </x:c>
      <x:c r="B50" s="17" t="str">
        <x:v>Duplicate JSON name keys</x:v>
      </x:c>
      <x:c r="C50" s="17" t="str">
        <x:v>Gemini Pro candidate</x:v>
      </x:c>
      <x:c r="D50" s="17" t="str">
        <x:v>INCOMPLETE</x:v>
      </x:c>
      <x:c r="E50" s="17" t="str">
        <x:v>Duplicate-key behavior is parser-dependent.</x:v>
      </x:c>
      <x:c r="F50" s="17" t="str">
        <x:v>Schema</x:v>
      </x:c>
      <x:c r="G50" s="17" t="str">
        <x:v>Robustness</x:v>
      </x:c>
      <x:c r="H50" s="17" t="str">
        <x:v>Medium</x:v>
      </x:c>
      <x:c r="I50" s="17" t="str">
        <x:v>OBSERVE</x:v>
      </x:c>
      <x:c r="J50" s="17" t="str">
        <x:v>{"authMode":"admin","expectedDelta":0,"rawBody":"{\"products\":[{\"name\":\"A\",\"name\":\"B\",\"price\":1,\"category_id\":1}]}"}</x:v>
      </x:c>
      <x:c r="K50" s="17" t="str"/>
      <x:c r="L50" s="17" t="str">
        <x:v>PASS</x:v>
      </x:c>
      <x:c r="M50" s="17" t="str"/>
      <x:c r="N50" s="17" t="str">
        <x:v>NO</x:v>
      </x:c>
      <x:c r="O50" s="17" t="str"/>
    </x:row>
    <x:row r="51" ht="42" customHeight="1">
      <x:c r="A51" s="17" t="str">
        <x:v>I-AI-47</x:v>
      </x:c>
      <x:c r="B51" s="17" t="str">
        <x:v>Duplicate names inside one batch</x:v>
      </x:c>
      <x:c r="C51" s="17" t="str">
        <x:v>Gemini Pro candidate</x:v>
      </x:c>
      <x:c r="D51" s="17" t="str">
        <x:v>INCOMPLETE</x:v>
      </x:c>
      <x:c r="E51" s="17" t="str">
        <x:v>Name uniqueness is unspecified.</x:v>
      </x:c>
      <x:c r="F51" s="17" t="str">
        <x:v>FR-16</x:v>
      </x:c>
      <x:c r="G51" s="17" t="str">
        <x:v>Robustness</x:v>
      </x:c>
      <x:c r="H51" s="17" t="str">
        <x:v>Medium</x:v>
      </x:c>
      <x:c r="I51" s="17" t="str">
        <x:v>OBSERVE</x:v>
      </x:c>
      <x:c r="J51" s="17" t="str">
        <x:v>{"authMode":"admin","expectedDelta":0,"payload":{"products":[{"name":"__CASE__ Duplicate","price":10000,"description":"Valid product description","imageUrl":"https://example.com/product.png","category_id":1},{"name":"__CASE__ Duplicate","price":10000,"description":"Valid product description","imageUrl":"https://example…</x:v>
      </x:c>
      <x:c r="K51" s="17" t="str"/>
      <x:c r="L51" s="17" t="str">
        <x:v>PASS</x:v>
      </x:c>
      <x:c r="M51" s="17" t="str"/>
      <x:c r="N51" s="17" t="str">
        <x:v>NO</x:v>
      </x:c>
      <x:c r="O51" s="17" t="str"/>
    </x:row>
    <x:row r="52" ht="42" customHeight="1">
      <x:c r="A52" s="17" t="str">
        <x:v>I-AI-48</x:v>
      </x:c>
      <x:c r="B52" s="17" t="str">
        <x:v>Controlled database error does not leak stack</x:v>
      </x:c>
      <x:c r="C52" s="17" t="str">
        <x:v>Gemini Pro candidate</x:v>
      </x:c>
      <x:c r="D52" s="17" t="str">
        <x:v>INVALID</x:v>
      </x:c>
      <x:c r="E52" s="17" t="str">
        <x:v>Ordinary black-box input cannot establish this precondition; controlled fault injection is required.</x:v>
      </x:c>
      <x:c r="F52" s="17" t="str">
        <x:v>Security</x:v>
      </x:c>
      <x:c r="G52" s="17" t="str">
        <x:v>Fault injection</x:v>
      </x:c>
      <x:c r="H52" s="17" t="str">
        <x:v>Medium</x:v>
      </x:c>
      <x:c r="I52" s="17" t="str">
        <x:v>OBSERVE</x:v>
      </x:c>
      <x:c r="J52" s="17" t="str">
        <x:v>{"authMode":"admin","expectedDelta":0,"payload":{"products":[{"name":"__CASE__ Product","price":10000,"description":"Valid product description","imageUrl":"https://example.com/product.png","category_id":1}]}}</x:v>
      </x:c>
      <x:c r="K52" s="17" t="str">
        <x:v>Run only with an isolated database fault fixture.</x:v>
      </x:c>
      <x:c r="L52" s="17" t="str">
        <x:v>PASS</x:v>
      </x:c>
      <x:c r="M52" s="17" t="str"/>
      <x:c r="N52" s="17" t="str">
        <x:v>NO</x:v>
      </x:c>
      <x:c r="O52" s="17" t="str"/>
    </x:row>
    <x:row r="53" ht="42" customHeight="1">
      <x:c r="A53" s="17" t="str">
        <x:v>I-AI-49</x:v>
      </x:c>
      <x:c r="B53" s="17" t="str">
        <x:v>Vietnamese Unicode name</x:v>
      </x:c>
      <x:c r="C53" s="17" t="str">
        <x:v>Gemini Pro candidate</x:v>
      </x:c>
      <x:c r="D53" s="17" t="str">
        <x:v>VALID</x:v>
      </x:c>
      <x:c r="E53" s="17" t="str">
        <x:v>Traceable to the supplied requirement and has a usable oracle.</x:v>
      </x:c>
      <x:c r="F53" s="17" t="str">
        <x:v>FR-15</x:v>
      </x:c>
      <x:c r="G53" s="17" t="str">
        <x:v>EP</x:v>
      </x:c>
      <x:c r="H53" s="17" t="str">
        <x:v>Medium</x:v>
      </x:c>
      <x:c r="I53" s="17" t="str">
        <x:v>COMMIT</x:v>
      </x:c>
      <x:c r="J53" s="17" t="str">
        <x:v>{"authMode":"admin","expectedDelta":1,"payload":{"products":[{"name":"Sản Phẩm Có Dấu __CASE__","price":10000,"description":"Valid product description","imageUrl":"https://example.com/product.png","category_id":1}]}}</x:v>
      </x:c>
      <x:c r="K53" s="17" t="str"/>
      <x:c r="L53" s="17" t="str">
        <x:v>PASS</x:v>
      </x:c>
      <x:c r="M53" s="17" t="str"/>
      <x:c r="N53" s="17" t="str">
        <x:v>NO</x:v>
      </x:c>
      <x:c r="O53" s="17" t="str"/>
    </x:row>
    <x:row r="54" ht="42" customHeight="1">
      <x:c r="A54" s="17" t="str">
        <x:v>I-AI-50</x:v>
      </x:c>
      <x:c r="B54" s="17" t="str">
        <x:v>Null description and imageUrl</x:v>
      </x:c>
      <x:c r="C54" s="17" t="str">
        <x:v>Gemini Pro candidate</x:v>
      </x:c>
      <x:c r="D54" s="17" t="str">
        <x:v>INCOMPLETE</x:v>
      </x:c>
      <x:c r="E54" s="17" t="str">
        <x:v>Optional-field null semantics are unspecified.</x:v>
      </x:c>
      <x:c r="F54" s="17" t="str">
        <x:v>FR-16</x:v>
      </x:c>
      <x:c r="G54" s="17" t="str">
        <x:v>BVA</x:v>
      </x:c>
      <x:c r="H54" s="17" t="str">
        <x:v>Medium</x:v>
      </x:c>
      <x:c r="I54" s="17" t="str">
        <x:v>OBSERVE</x:v>
      </x:c>
      <x:c r="J54" s="17" t="str">
        <x:v>{"authMode":"admin","expectedDelta":0,"payload":{"products":[{"name":"__CASE__ Product","price":10000,"description":null,"imageUrl":null,"category_id":1}]}}</x:v>
      </x:c>
      <x:c r="K54" s="17" t="str"/>
      <x:c r="L54" s="17" t="str">
        <x:v>PASS</x:v>
      </x:c>
      <x:c r="M54" s="17" t="str"/>
      <x:c r="N54" s="17" t="str">
        <x:v>NO</x:v>
      </x:c>
      <x:c r="O54" s="17" t="str"/>
    </x:row>
    <x:row r="55" ht="42" customHeight="1">
      <x:c r="A55" s="17" t="str">
        <x:v>I-AI-51</x:v>
      </x:c>
      <x:c r="B55" s="17" t="str">
        <x:v>Several invalid rows report reasons and roll back</x:v>
      </x:c>
      <x:c r="C55" s="17" t="str">
        <x:v>Gemini Pro candidate</x:v>
      </x:c>
      <x:c r="D55" s="17" t="str">
        <x:v>VALID</x:v>
      </x:c>
      <x:c r="E55" s="17" t="str">
        <x:v>Traceable to the supplied requirement and has a usable oracle.</x:v>
      </x:c>
      <x:c r="F55" s="17" t="str">
        <x:v>FR-16</x:v>
      </x:c>
      <x:c r="G55" s="17" t="str">
        <x:v>State</x:v>
      </x:c>
      <x:c r="H55" s="17" t="str">
        <x:v>High</x:v>
      </x:c>
      <x:c r="I55" s="17" t="str">
        <x:v>ROLLBACK</x:v>
      </x:c>
      <x:c r="J55" s="17" t="str">
        <x:v>{"authMode":"admin","expectedDelta":0,"payload":{"products":[{"name":"","price":10000,"description":"Valid product description","imageUrl":"https://example.com/product.png","category_id":1},{"name":"__CASE__ Bad Price","price":-1,"description":"Valid product description","imageUrl":"https://example.com/product.png","ca…</x:v>
      </x:c>
      <x:c r="K55" s="17" t="str"/>
      <x:c r="L55" s="17" t="str">
        <x:v>FAIL</x:v>
      </x:c>
      <x:c r="M55" s="17" t="str">
        <x:v>[I-AI-51] database snapshot is unchanged</x:v>
      </x:c>
      <x:c r="N55" s="17" t="str">
        <x:v>NO</x:v>
      </x:c>
      <x:c r="O55" s="17" t="str"/>
    </x:row>
    <x:row r="56" ht="42" customHeight="1">
      <x:c r="A56" s="17" t="str">
        <x:v>I-AI-52</x:v>
      </x:c>
      <x:c r="B56" s="17" t="str">
        <x:v>All-valid three-row atomic commit</x:v>
      </x:c>
      <x:c r="C56" s="17" t="str">
        <x:v>Gemini Pro candidate</x:v>
      </x:c>
      <x:c r="D56" s="17" t="str">
        <x:v>VALID</x:v>
      </x:c>
      <x:c r="E56" s="17" t="str">
        <x:v>Traceable to the supplied requirement and has a usable oracle.</x:v>
      </x:c>
      <x:c r="F56" s="17" t="str">
        <x:v>FR-16</x:v>
      </x:c>
      <x:c r="G56" s="17" t="str">
        <x:v>State</x:v>
      </x:c>
      <x:c r="H56" s="17" t="str">
        <x:v>High</x:v>
      </x:c>
      <x:c r="I56" s="17" t="str">
        <x:v>COMMIT</x:v>
      </x:c>
      <x:c r="J56" s="17" t="str">
        <x:v>{"authMode":"admin","expectedDelta":3,"payload":{"products":[{"name":"__CASE__ One","price":10000,"description":"Valid product description","imageUrl":"https://example.com/product.png","category_id":1},{"name":"__CASE__ Two","price":10000,"description":"Valid product description","imageUrl":"https://example.com/product…</x:v>
      </x:c>
      <x:c r="K56" s="17" t="str"/>
      <x:c r="L56" s="17" t="str">
        <x:v>PASS</x:v>
      </x:c>
      <x:c r="M56" s="17" t="str"/>
      <x:c r="N56" s="17" t="str">
        <x:v>NO</x:v>
      </x:c>
      <x:c r="O56" s="17" t="str"/>
    </x:row>
    <x:row r="57" ht="42" customHeight="1">
      <x:c r="A57" s="17" t="str">
        <x:v>I-AI-53</x:v>
      </x:c>
      <x:c r="B57" s="17" t="str">
        <x:v>Prototype-style extra properties</x:v>
      </x:c>
      <x:c r="C57" s="17" t="str">
        <x:v>Gemini Pro candidate</x:v>
      </x:c>
      <x:c r="D57" s="17" t="str">
        <x:v>INCOMPLETE</x:v>
      </x:c>
      <x:c r="E57" s="17" t="str">
        <x:v>Safe ignore or rejection are both acceptable; no prototype mutation is allowed.</x:v>
      </x:c>
      <x:c r="F57" s="17" t="str">
        <x:v>Schema,Security</x:v>
      </x:c>
      <x:c r="G57" s="17" t="str">
        <x:v>Security</x:v>
      </x:c>
      <x:c r="H57" s="17" t="str">
        <x:v>Medium</x:v>
      </x:c>
      <x:c r="I57" s="17" t="str">
        <x:v>OBSERVE</x:v>
      </x:c>
      <x:c r="J57" s="17" t="str">
        <x:v>{"authMode":"admin","expectedDelta":0,"rawBody":"{\"products\":[{\"name\":\"__CASE__ Proto\",\"price\":1,\"category_id\":1,\"__proto__\":{\"admin\":true},\"constructor\":{\"prototype\":{\"polluted\":true}}}]}"}</x:v>
      </x:c>
      <x:c r="K57" s="17" t="str"/>
      <x:c r="L57" s="17" t="str">
        <x:v>PASS</x:v>
      </x:c>
      <x:c r="M57" s="17" t="str"/>
      <x:c r="N57" s="17" t="str">
        <x:v>NO</x:v>
      </x:c>
      <x:c r="O57" s="17" t="str"/>
    </x:row>
    <x:row r="58" ht="42" customHeight="1">
      <x:c r="A58" s="17" t="str">
        <x:v>I-AI-54</x:v>
      </x:c>
      <x:c r="B58" s="17" t="str">
        <x:v>Concurrent identical imports</x:v>
      </x:c>
      <x:c r="C58" s="17" t="str">
        <x:v>Gemini Pro candidate</x:v>
      </x:c>
      <x:c r="D58" s="17" t="str">
        <x:v>INCOMPLETE</x:v>
      </x:c>
      <x:c r="E58" s="17" t="str">
        <x:v>Idempotency and name uniqueness are unspecified; parallel execution is a companion run.</x:v>
      </x:c>
      <x:c r="F58" s="17" t="str">
        <x:v>FR-16</x:v>
      </x:c>
      <x:c r="G58" s="17" t="str">
        <x:v>Concurrency</x:v>
      </x:c>
      <x:c r="H58" s="17" t="str">
        <x:v>Medium</x:v>
      </x:c>
      <x:c r="I58" s="17" t="str">
        <x:v>OBSERVE</x:v>
      </x:c>
      <x:c r="J58" s="17" t="str">
        <x:v>{"authMode":"admin","expectedDelta":0,"payload":{"products":[{"name":"__CASE__ Concurrent","price":10000,"description":"Valid product description","imageUrl":"https://example.com/product.png","category_id":1}]}}</x:v>
      </x:c>
      <x:c r="K58" s="17" t="str">
        <x:v>Use the video-script parallel command.</x:v>
      </x:c>
      <x:c r="L58" s="17" t="str">
        <x:v>PASS</x:v>
      </x:c>
      <x:c r="M58" s="17" t="str"/>
      <x:c r="N58" s="17" t="str">
        <x:v>NO</x:v>
      </x:c>
      <x:c r="O58" s="17" t="str"/>
    </x:row>
    <x:row r="59" ht="42" customHeight="1">
      <x:c r="A59" s="17" t="str">
        <x:v>I-AI-55</x:v>
      </x:c>
      <x:c r="B59" s="17" t="str">
        <x:v>Boolean category_id</x:v>
      </x:c>
      <x:c r="C59" s="17" t="str">
        <x:v>Gemini Pro candidate</x:v>
      </x:c>
      <x:c r="D59" s="17" t="str">
        <x:v>VALID</x:v>
      </x:c>
      <x:c r="E59" s="17" t="str">
        <x:v>Traceable to the supplied requirement and has a usable oracle.</x:v>
      </x:c>
      <x:c r="F59" s="17" t="str">
        <x:v>FR-15</x:v>
      </x:c>
      <x:c r="G59" s="17" t="str">
        <x:v>Negative</x:v>
      </x:c>
      <x:c r="H59" s="17" t="str">
        <x:v>Medium</x:v>
      </x:c>
      <x:c r="I59" s="17" t="str">
        <x:v>ROLLBACK</x:v>
      </x:c>
      <x:c r="J59" s="17" t="str">
        <x:v>{"authMode":"admin","expectedDelta":0,"payload":{"products":[{"name":"__CASE__ Product","price":10000,"description":"Valid product description","imageUrl":"https://example.com/product.png","category_id":true}]}}</x:v>
      </x:c>
      <x:c r="K59" s="17" t="str"/>
      <x:c r="L59" s="17" t="str">
        <x:v>FAIL</x:v>
      </x:c>
      <x:c r="M59" s="17" t="str">
        <x:v>[I-AI-55] database snapshot is unchanged</x:v>
      </x:c>
      <x:c r="N59" s="17" t="str">
        <x:v>NO</x:v>
      </x:c>
      <x:c r="O59" s="17" t="str"/>
    </x:row>
    <x:row r="60" ht="42" customHeight="1">
      <x:c r="A60" s="17" t="str">
        <x:v>I-AI-56</x:v>
      </x:c>
      <x:c r="B60" s="17" t="str">
        <x:v>User token is rejected before SQL-looking payload processing</x:v>
      </x:c>
      <x:c r="C60" s="17" t="str">
        <x:v>Gemini Pro candidate</x:v>
      </x:c>
      <x:c r="D60" s="17" t="str">
        <x:v>VALID</x:v>
      </x:c>
      <x:c r="E60" s="17" t="str">
        <x:v>Traceable to the supplied requirement and has a usable oracle.</x:v>
      </x:c>
      <x:c r="F60" s="17" t="str">
        <x:v>FR-12,SEC-02</x:v>
      </x:c>
      <x:c r="G60" s="17" t="str">
        <x:v>State</x:v>
      </x:c>
      <x:c r="H60" s="17" t="str">
        <x:v>High</x:v>
      </x:c>
      <x:c r="I60" s="17" t="str">
        <x:v>REJECT_BEFORE_PROCESSING</x:v>
      </x:c>
      <x:c r="J60" s="17" t="str">
        <x:v>{"authMode":"user","expectedDelta":0,"payload":{"products":[{"name":"' OR 1=1; --","price":10000,"description":"Valid product description","imageUrl":"https://example.com/product.png","category_id":1}]}}</x:v>
      </x:c>
      <x:c r="K60" s="17" t="str"/>
      <x:c r="L60" s="17" t="str">
        <x:v>FAIL</x:v>
      </x:c>
      <x:c r="M60" s="17" t="str">
        <x:v>Authorization gate rejects request | [I-AI-56] database snapshot is unchanged</x:v>
      </x:c>
      <x:c r="N60" s="17" t="str">
        <x:v>NO</x:v>
      </x:c>
      <x:c r="O60" s="17" t="str"/>
    </x:row>
    <x:row r="61" ht="42" customHeight="1">
      <x:c r="A61" s="17" t="str">
        <x:v>I-H-01</x:v>
      </x:c>
      <x:c r="B61" s="17" t="str">
        <x:v>Null row inside products array</x:v>
      </x:c>
      <x:c r="C61" s="17" t="str">
        <x:v>Student extension</x:v>
      </x:c>
      <x:c r="D61" s="17" t="str">
        <x:v>STUDENT_ADDED</x:v>
      </x:c>
      <x:c r="E61" s="17" t="str">
        <x:v>Added during human review because the AI candidate pool missed this risk.</x:v>
      </x:c>
      <x:c r="F61" s="17" t="str">
        <x:v>FR-16</x:v>
      </x:c>
      <x:c r="G61" s="17" t="str">
        <x:v>Schema/state</x:v>
      </x:c>
      <x:c r="H61" s="17" t="str">
        <x:v>High</x:v>
      </x:c>
      <x:c r="I61" s="17" t="str">
        <x:v>ROLLBACK</x:v>
      </x:c>
      <x:c r="J61" s="17" t="str">
        <x:v>{"authMode":"admin","expectedDelta":0,"payload":{"products":[{"name":"__CASE__ Good","price":10000,"description":"Valid product description","imageUrl":"https://example.com/product.png","category_id":1},null]}}</x:v>
      </x:c>
      <x:c r="K61" s="17" t="str"/>
      <x:c r="L61" s="17" t="str">
        <x:v>FAIL</x:v>
      </x:c>
      <x:c r="M61" s="17" t="str">
        <x:v>[I-H-01] response has no stack/database leak | [I-H-01] database snapshot is unchanged</x:v>
      </x:c>
      <x:c r="N61" s="17" t="str">
        <x:v>NO</x:v>
      </x:c>
      <x:c r="O61" s="17" t="str"/>
    </x:row>
    <x:row r="62" ht="42" customHeight="1">
      <x:c r="A62" s="17" t="str">
        <x:v>I-H-02</x:v>
      </x:c>
      <x:c r="B62" s="17" t="str">
        <x:v>Name boundary after surrounding whitespace</x:v>
      </x:c>
      <x:c r="C62" s="17" t="str">
        <x:v>Student extension</x:v>
      </x:c>
      <x:c r="D62" s="17" t="str">
        <x:v>STUDENT_ADDED</x:v>
      </x:c>
      <x:c r="E62" s="17" t="str">
        <x:v>Added during human review because the AI candidate pool missed this risk.</x:v>
      </x:c>
      <x:c r="F62" s="17" t="str">
        <x:v>FR-15</x:v>
      </x:c>
      <x:c r="G62" s="17" t="str">
        <x:v>Metamorphic</x:v>
      </x:c>
      <x:c r="H62" s="17" t="str">
        <x:v>High</x:v>
      </x:c>
      <x:c r="I62" s="17" t="str">
        <x:v>OBSERVE</x:v>
      </x:c>
      <x:c r="J62" s="17" t="str">
        <x:v>{"authMode":"admin","expectedDelta":0,"payload":{"products":[{"name":" AAAAAAAAAAAAAAAAAAAAAAAAAAAAAAAAAAAAAAAAAAAAAAAAAAAAAAAAAAAAAAAAAAAAAAAAAAAAAAAAAAAAAAAAAAAAAAAAAAAAAAAAAAAAAAAAAAAAAAAAAAAAAAAAAAAAAAAAAAAAAAAAAAAAAAAAAAAAAAAAAAAAAAAAAAAAAAAAAAAAAAAAAAAAAAAAAAAAAAAAAAAAAAAAAAAAAAAAAAAAAAAAAAAAAAAAAAAAAAAAAAAAAAAAA…</x:v>
      </x:c>
      <x:c r="K62" s="17" t="str"/>
      <x:c r="L62" s="17" t="str">
        <x:v>PASS</x:v>
      </x:c>
      <x:c r="M62" s="17" t="str"/>
      <x:c r="N62" s="17" t="str">
        <x:v>NO</x:v>
      </x:c>
      <x:c r="O62" s="17" t="str"/>
    </x:row>
    <x:row r="63" ht="42" customHeight="1">
      <x:c r="A63" s="17" t="str">
        <x:v>I-H-03</x:v>
      </x:c>
      <x:c r="B63" s="17" t="str">
        <x:v>Very small positive fractional price</x:v>
      </x:c>
      <x:c r="C63" s="17" t="str">
        <x:v>Student extension</x:v>
      </x:c>
      <x:c r="D63" s="17" t="str">
        <x:v>STUDENT_ADDED</x:v>
      </x:c>
      <x:c r="E63" s="17" t="str">
        <x:v>Added during human review because the AI candidate pool missed this risk.</x:v>
      </x:c>
      <x:c r="F63" s="17" t="str">
        <x:v>FR-15</x:v>
      </x:c>
      <x:c r="G63" s="17" t="str">
        <x:v>BVA</x:v>
      </x:c>
      <x:c r="H63" s="17" t="str">
        <x:v>High</x:v>
      </x:c>
      <x:c r="I63" s="17" t="str">
        <x:v>COMMIT</x:v>
      </x:c>
      <x:c r="J63" s="17" t="str">
        <x:v>{"authMode":"admin","expectedDelta":1,"payload":{"products":[{"name":"__CASE__ Product","price":0.000001,"description":"Valid product description","imageUrl":"https://example.com/product.png","category_id":1}]}}</x:v>
      </x:c>
      <x:c r="K63" s="17" t="str"/>
      <x:c r="L63" s="17" t="str">
        <x:v>PASS</x:v>
      </x:c>
      <x:c r="M63" s="17" t="str"/>
      <x:c r="N63" s="17" t="str">
        <x:v>NO</x:v>
      </x:c>
      <x:c r="O63" s="17" t="str"/>
    </x:row>
    <x:row r="64" ht="42" customHeight="1">
      <x:c r="A64" s="17" t="str">
        <x:v>I-H-04</x:v>
      </x:c>
      <x:c r="B64" s="17" t="str">
        <x:v>Category ID zero</x:v>
      </x:c>
      <x:c r="C64" s="17" t="str">
        <x:v>Student extension</x:v>
      </x:c>
      <x:c r="D64" s="17" t="str">
        <x:v>STUDENT_ADDED</x:v>
      </x:c>
      <x:c r="E64" s="17" t="str">
        <x:v>Added during human review because the AI candidate pool missed this risk.</x:v>
      </x:c>
      <x:c r="F64" s="17" t="str">
        <x:v>FR-15</x:v>
      </x:c>
      <x:c r="G64" s="17" t="str">
        <x:v>BVA</x:v>
      </x:c>
      <x:c r="H64" s="17" t="str">
        <x:v>High</x:v>
      </x:c>
      <x:c r="I64" s="17" t="str">
        <x:v>ROLLBACK</x:v>
      </x:c>
      <x:c r="J64" s="17" t="str">
        <x:v>{"authMode":"admin","expectedDelta":0,"payload":{"products":[{"name":"__CASE__ Product","price":10000,"description":"Valid product description","imageUrl":"https://example.com/product.png","category_id":0}]}}</x:v>
      </x:c>
      <x:c r="K64" s="17" t="str"/>
      <x:c r="L64" s="17" t="str">
        <x:v>FAIL</x:v>
      </x:c>
      <x:c r="M64" s="17" t="str">
        <x:v>[I-H-04] database snapshot is unchanged</x:v>
      </x:c>
      <x:c r="N64" s="17" t="str">
        <x:v>NO</x:v>
      </x:c>
      <x:c r="O64" s="17" t="str"/>
    </x:row>
    <x:row r="65" ht="42" customHeight="1">
      <x:c r="A65" s="17" t="str">
        <x:v>I-H-05</x:v>
      </x:c>
      <x:c r="B65" s="17" t="str">
        <x:v>One row has multiple simultaneous validation failures</x:v>
      </x:c>
      <x:c r="C65" s="17" t="str">
        <x:v>Student extension</x:v>
      </x:c>
      <x:c r="D65" s="17" t="str">
        <x:v>STUDENT_ADDED</x:v>
      </x:c>
      <x:c r="E65" s="17" t="str">
        <x:v>Added during human review because the AI candidate pool missed this risk.</x:v>
      </x:c>
      <x:c r="F65" s="17" t="str">
        <x:v>FR-15,FR-16</x:v>
      </x:c>
      <x:c r="G65" s="17" t="str">
        <x:v>Error guessing</x:v>
      </x:c>
      <x:c r="H65" s="17" t="str">
        <x:v>High</x:v>
      </x:c>
      <x:c r="I65" s="17" t="str">
        <x:v>ROLLBACK</x:v>
      </x:c>
      <x:c r="J65" s="17" t="str">
        <x:v>{"authMode":"admin","expectedDelta":0,"payload":{"products":[{"name":"","price":0,"description":"Valid product description","imageUrl":"https://example.com/product.png","category_id":999999}]}}</x:v>
      </x:c>
      <x:c r="K65" s="17" t="str"/>
      <x:c r="L65" s="17" t="str">
        <x:v>PASS</x:v>
      </x:c>
      <x:c r="M65" s="17" t="str"/>
      <x:c r="N65" s="17" t="str">
        <x:v>NO</x:v>
      </x:c>
      <x:c r="O65" s="17" t="str"/>
    </x:row>
  </x:sheetData>
  <x:mergeCells>
    <x:mergeCell ref="A1:O2"/>
  </x:mergeCells>
  <x:conditionalFormatting sqref="D5:D65">
    <x:cfRule type="containsText" dxfId="12" priority="1" operator="containsText" text="INVALID"/>
    <x:cfRule type="containsText" dxfId="13" priority="2" operator="containsText" text="INCOMPLETE"/>
    <x:cfRule type="containsText" dxfId="14" priority="3" operator="containsText" text="STUDENT_ADDED"/>
  </x:conditionalFormatting>
  <x:conditionalFormatting sqref="L5:L65">
    <x:cfRule type="containsText" dxfId="15" priority="4" operator="containsText" text="PASS"/>
    <x:cfRule type="containsText" dxfId="16" priority="5" operator="containsText" text="FAIL"/>
  </x:conditionalFormatting>
  <x:conditionalFormatting sqref="N5:N65">
    <x:cfRule type="containsText" dxfId="17" priority="6" operator="containsText" text="NO"/>
  </x:conditionalFormatting>
  <x:dataValidations count="1">
    <x:dataValidation type="list" sqref="N5:N65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e88fbe27294f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34" hidden="0" customWidth="1"/>
  </x:cols>
  <x:sheetData>
    <x:row r="1" ht="48" customHeight="1">
      <x:c r="A1" s="4" t="str">
        <x:v>Gemini Pro AI Audit Index
All prompts and outputs are preserved verbatim under evidence/gemini</x:v>
      </x:c>
      <x:c r="B1" s="4"/>
      <x:c r="C1" s="4"/>
      <x:c r="D1" s="4"/>
      <x:c r="E1" s="4"/>
      <x:c r="F1" s="4"/>
    </x:row>
    <x:row r="2" ht="48" customHeight="1">
      <x:c r="A2" s="4"/>
      <x:c r="B2" s="4"/>
      <x:c r="C2" s="4"/>
      <x:c r="D2" s="4"/>
      <x:c r="E2" s="4"/>
      <x:c r="F2" s="4"/>
    </x:row>
    <x:row r="4" ht="30" customHeight="1">
      <x:c r="A4" s="13" t="str">
        <x:v>Interaction</x:v>
      </x:c>
      <x:c r="B4" s="14" t="str">
        <x:v>API</x:v>
      </x:c>
      <x:c r="C4" s="14" t="str">
        <x:v>Sent UTC</x:v>
      </x:c>
      <x:c r="D4" s="14" t="str">
        <x:v>Response complete UTC</x:v>
      </x:c>
      <x:c r="E4" s="14" t="str">
        <x:v>Purpose / correction</x:v>
      </x:c>
      <x:c r="F4" s="15" t="str">
        <x:v>Verbatim evidence</x:v>
      </x:c>
    </x:row>
    <x:row r="5">
      <x:c r="A5" s="16" t="str">
        <x:v>RESET-P1</x:v>
      </x:c>
      <x:c r="B5" s="16" t="str">
        <x:v>reset-password</x:v>
      </x:c>
      <x:c r="C5" s="16" t="str">
        <x:v>'2026-08-20 17:51:38 UTC</x:v>
      </x:c>
      <x:c r="D5" s="16" t="str">
        <x:v>'2026-08-20 17:52:27 UTC</x:v>
      </x:c>
      <x:c r="E5" s="16" t="str">
        <x:v>Requirements analysis only</x:v>
      </x:c>
      <x:c r="F5" s="16" t="str">
        <x:v>reset-password-session.txt</x:v>
      </x:c>
    </x:row>
    <x:row r="6">
      <x:c r="A6" s="16" t="str">
        <x:v>RESET-P2</x:v>
      </x:c>
      <x:c r="B6" s="16" t="str">
        <x:v>reset-password</x:v>
      </x:c>
      <x:c r="C6" s="16" t="str">
        <x:v>'2026-08-20 17:52:42 UTC</x:v>
      </x:c>
      <x:c r="D6" s="16" t="str">
        <x:v>'2026-08-20 17:53:36 UTC</x:v>
      </x:c>
      <x:c r="E6" s="16" t="str">
        <x:v>Correct invented rules and state model</x:v>
      </x:c>
      <x:c r="F6" s="16" t="str">
        <x:v>reset-password-session.txt</x:v>
      </x:c>
    </x:row>
    <x:row r="7">
      <x:c r="A7" s="16" t="str">
        <x:v>RESET-P3</x:v>
      </x:c>
      <x:c r="B7" s="16" t="str">
        <x:v>reset-password</x:v>
      </x:c>
      <x:c r="C7" s="16" t="str">
        <x:v>'2026-08-20 17:53:52 UTC</x:v>
      </x:c>
      <x:c r="D7" s="16" t="str">
        <x:v>'2026-08-20 17:55:04 UTC</x:v>
      </x:c>
      <x:c r="E7" s="16" t="str">
        <x:v>Generate exactly 42 candidates</x:v>
      </x:c>
      <x:c r="F7" s="16" t="str">
        <x:v>reset-password-session.txt</x:v>
      </x:c>
    </x:row>
    <x:row r="8">
      <x:c r="A8" s="16" t="str">
        <x:v>COUPON-P1</x:v>
      </x:c>
      <x:c r="B8" s="16" t="str">
        <x:v>apply-coupon</x:v>
      </x:c>
      <x:c r="C8" s="16" t="str">
        <x:v>'2026-08-20 17:55:59 UTC</x:v>
      </x:c>
      <x:c r="D8" s="16" t="str">
        <x:v>'2026-08-20 17:57:09 UTC</x:v>
      </x:c>
      <x:c r="E8" s="16" t="str">
        <x:v>Requirements analysis only</x:v>
      </x:c>
      <x:c r="F8" s="16" t="str">
        <x:v>apply-coupon-session.txt</x:v>
      </x:c>
    </x:row>
    <x:row r="9">
      <x:c r="A9" s="16" t="str">
        <x:v>COUPON-P2</x:v>
      </x:c>
      <x:c r="B9" s="16" t="str">
        <x:v>apply-coupon</x:v>
      </x:c>
      <x:c r="C9" s="16" t="str">
        <x:v>'2026-08-20 17:57:31 UTC</x:v>
      </x:c>
      <x:c r="D9" s="16" t="str">
        <x:v>'2026-08-20 17:58:37 UTC</x:v>
      </x:c>
      <x:c r="E9" s="16" t="str">
        <x:v>Correct schema/auth/identity assumptions</x:v>
      </x:c>
      <x:c r="F9" s="16" t="str">
        <x:v>apply-coupon-session.txt</x:v>
      </x:c>
    </x:row>
    <x:row r="10">
      <x:c r="A10" s="16" t="str">
        <x:v>COUPON-P3</x:v>
      </x:c>
      <x:c r="B10" s="16" t="str">
        <x:v>apply-coupon</x:v>
      </x:c>
      <x:c r="C10" s="16" t="str">
        <x:v>'2026-08-20 17:58:51 UTC</x:v>
      </x:c>
      <x:c r="D10" s="16" t="str">
        <x:v>'2026-08-20 18:00:15 UTC</x:v>
      </x:c>
      <x:c r="E10" s="16" t="str">
        <x:v>Generate exactly 45 candidates</x:v>
      </x:c>
      <x:c r="F10" s="16" t="str">
        <x:v>apply-coupon-session.txt</x:v>
      </x:c>
    </x:row>
    <x:row r="11">
      <x:c r="A11" s="16" t="str">
        <x:v>COUPON-P4</x:v>
      </x:c>
      <x:c r="B11" s="16" t="str">
        <x:v>apply-coupon</x:v>
      </x:c>
      <x:c r="C11" s="16" t="str">
        <x:v>'2026-08-20 18:00:35 UTC</x:v>
      </x:c>
      <x:c r="D11" s="16" t="str">
        <x:v>'2026-08-20 18:01:15 UTC</x:v>
      </x:c>
      <x:c r="E11" s="16" t="str">
        <x:v>Correction ledger; exclude invalid concurrency</x:v>
      </x:c>
      <x:c r="F11" s="16" t="str">
        <x:v>apply-coupon-session.txt</x:v>
      </x:c>
    </x:row>
    <x:row r="12">
      <x:c r="A12" s="16" t="str">
        <x:v>IMPORT-P1</x:v>
      </x:c>
      <x:c r="B12" s="16" t="str">
        <x:v>import-products</x:v>
      </x:c>
      <x:c r="C12" s="16" t="str">
        <x:v>'2026-08-20 18:01:51 UTC</x:v>
      </x:c>
      <x:c r="D12" s="16" t="str">
        <x:v>'2026-08-20 18:03:04 UTC</x:v>
      </x:c>
      <x:c r="E12" s="16" t="str">
        <x:v>Split JSON API from frontend CSV</x:v>
      </x:c>
      <x:c r="F12" s="16" t="str">
        <x:v>import-products-session.txt</x:v>
      </x:c>
    </x:row>
    <x:row r="13">
      <x:c r="A13" s="16" t="str">
        <x:v>IMPORT-P2</x:v>
      </x:c>
      <x:c r="B13" s="16" t="str">
        <x:v>import-products</x:v>
      </x:c>
      <x:c r="C13" s="16" t="str">
        <x:v>'2026-08-20 18:03:24 UTC</x:v>
      </x:c>
      <x:c r="D13" s="16" t="str">
        <x:v>'2026-08-20 18:04:09 UTC</x:v>
      </x:c>
      <x:c r="E13" s="16" t="str">
        <x:v>Correct counts/status/atomicity oracles</x:v>
      </x:c>
      <x:c r="F13" s="16" t="str">
        <x:v>import-products-session.txt</x:v>
      </x:c>
    </x:row>
    <x:row r="14">
      <x:c r="A14" s="16" t="str">
        <x:v>IMPORT-P3</x:v>
      </x:c>
      <x:c r="B14" s="16" t="str">
        <x:v>import-products</x:v>
      </x:c>
      <x:c r="C14" s="16" t="str">
        <x:v>'2026-08-20 18:04:25 UTC</x:v>
      </x:c>
      <x:c r="D14" s="16" t="str">
        <x:v>'2026-08-20 18:05:35 UTC</x:v>
      </x:c>
      <x:c r="E14" s="16" t="str">
        <x:v>Generate exactly 48 candidates</x:v>
      </x:c>
      <x:c r="F14" s="16" t="str">
        <x:v>import-products-session.txt</x:v>
      </x:c>
    </x:row>
    <x:row r="15">
      <x:c r="A15" s="16" t="str">
        <x:v>IMPORT-P4</x:v>
      </x:c>
      <x:c r="B15" s="16" t="str">
        <x:v>import-products</x:v>
      </x:c>
      <x:c r="C15" s="16" t="str">
        <x:v>'2026-08-20 18:05:57 UTC</x:v>
      </x:c>
      <x:c r="D15" s="16" t="str">
        <x:v>'2026-08-20 18:06:37 UTC</x:v>
      </x:c>
      <x:c r="E15" s="16" t="str">
        <x:v>Correction ledger + 8 supplemental cases</x:v>
      </x:c>
      <x:c r="F15" s="16" t="str">
        <x:v>import-products-session.txt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b56f9d980f1542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8" hidden="0" customWidth="1"/>
    <x:col min="5" max="5" width="30" hidden="0" customWidth="1"/>
    <x:col min="6" max="6" width="20" hidden="0" customWidth="1"/>
    <x:col min="7" max="7" width="52" hidden="0" customWidth="1"/>
  </x:cols>
  <x:sheetData>
    <x:row r="1" ht="48" customHeight="1">
      <x:c r="A1" s="4" t="str">
        <x:v>Genuine Defect Summary
Ten issue records with traceable screenshot and official Newman evidence</x:v>
      </x:c>
      <x:c r="B1" s="4"/>
      <x:c r="C1" s="4"/>
      <x:c r="D1" s="4"/>
      <x:c r="E1" s="4"/>
      <x:c r="F1" s="4"/>
      <x:c r="G1" s="4"/>
    </x:row>
    <x:row r="2" ht="48" customHeight="1">
      <x:c r="A2" s="4"/>
      <x:c r="B2" s="4"/>
      <x:c r="C2" s="4"/>
      <x:c r="D2" s="4"/>
      <x:c r="E2" s="4"/>
      <x:c r="F2" s="4"/>
      <x:c r="G2" s="4"/>
    </x:row>
    <x:row r="4" ht="30" customHeight="1">
      <x:c r="A4" s="13" t="str">
        <x:v>Bug_ID</x:v>
      </x:c>
      <x:c r="B4" s="14" t="str">
        <x:v>Severity</x:v>
      </x:c>
      <x:c r="C4" s="14" t="str">
        <x:v>Area</x:v>
      </x:c>
      <x:c r="D4" s="14" t="str">
        <x:v>Finding</x:v>
      </x:c>
      <x:c r="E4" s="14" t="str">
        <x:v>Evidence</x:v>
      </x:c>
      <x:c r="F4" s="14" t="str">
        <x:v>GitHub_Status</x:v>
      </x:c>
      <x:c r="G4" s="15" t="str">
        <x:v>Issue_URL</x:v>
      </x:c>
    </x:row>
    <x:row r="5">
      <x:c r="A5" s="16" t="str">
        <x:v>BUG-01</x:v>
      </x:c>
      <x:c r="B5" s="16" t="str">
        <x:v>Critical</x:v>
      </x:c>
      <x:c r="C5" s="16" t="str">
        <x:v>Authentication</x:v>
      </x:c>
      <x:c r="D5" s="16" t="str">
        <x:v>Plaintext password storage and sensitive login response</x:v>
      </x:c>
      <x:c r="E5" s="16" t="str">
        <x:v>R-H-05; source review</x:v>
      </x:c>
      <x:c r="F5" s="16" t="str">
        <x:v>#1</x:v>
      </x:c>
      <x:c r="G5" s="16" t="str">
        <x:v>https://github.com/z3nz3nn/HW06-software-testing/issues/1</x:v>
      </x:c>
    </x:row>
    <x:row r="6">
      <x:c r="A6" s="16" t="str">
        <x:v>BUG-02</x:v>
      </x:c>
      <x:c r="B6" s="16" t="str">
        <x:v>High</x:v>
      </x:c>
      <x:c r="C6" s="16" t="str">
        <x:v>Password reset</x:v>
      </x:c>
      <x:c r="D6" s="16" t="str">
        <x:v>Password complexity is not validated</x:v>
      </x:c>
      <x:c r="E6" s="16" t="str">
        <x:v>R-AI-05..10,35..38</x:v>
      </x:c>
      <x:c r="F6" s="16" t="str">
        <x:v>#2</x:v>
      </x:c>
      <x:c r="G6" s="16" t="str">
        <x:v>https://github.com/z3nz3nn/HW06-software-testing/issues/2</x:v>
      </x:c>
    </x:row>
    <x:row r="7">
      <x:c r="A7" s="16" t="str">
        <x:v>BUG-03</x:v>
      </x:c>
      <x:c r="B7" s="16" t="str">
        <x:v>High</x:v>
      </x:c>
      <x:c r="C7" s="16" t="str">
        <x:v>OTP</x:v>
      </x:c>
      <x:c r="D7" s="16" t="str">
        <x:v>OTP has four digits and no expiry</x:v>
      </x:c>
      <x:c r="E7" s="16" t="str">
        <x:v>R-AI-15; source review</x:v>
      </x:c>
      <x:c r="F7" s="16" t="str">
        <x:v>#3</x:v>
      </x:c>
      <x:c r="G7" s="16" t="str">
        <x:v>https://github.com/z3nz3nn/HW06-software-testing/issues/3</x:v>
      </x:c>
    </x:row>
    <x:row r="8">
      <x:c r="A8" s="16" t="str">
        <x:v>BUG-04</x:v>
      </x:c>
      <x:c r="B8" s="16" t="str">
        <x:v>Critical</x:v>
      </x:c>
      <x:c r="C8" s="16" t="str">
        <x:v>Coupon</x:v>
      </x:c>
      <x:c r="D8" s="16" t="str">
        <x:v>No JWT gate; body identity is trusted</x:v>
      </x:c>
      <x:c r="E8" s="16" t="str">
        <x:v>C-AI-02..09</x:v>
      </x:c>
      <x:c r="F8" s="16" t="str">
        <x:v>#4</x:v>
      </x:c>
      <x:c r="G8" s="16" t="str">
        <x:v>https://github.com/z3nz3nn/HW06-software-testing/issues/4</x:v>
      </x:c>
    </x:row>
    <x:row r="9">
      <x:c r="A9" s="16" t="str">
        <x:v>BUG-05</x:v>
      </x:c>
      <x:c r="B9" s="16" t="str">
        <x:v>High</x:v>
      </x:c>
      <x:c r="C9" s="16" t="str">
        <x:v>Coupon</x:v>
      </x:c>
      <x:c r="D9" s="16" t="str">
        <x:v>Percent calculation is incorrect</x:v>
      </x:c>
      <x:c r="E9" s="16" t="str">
        <x:v>C-AI-01,19,34</x:v>
      </x:c>
      <x:c r="F9" s="16" t="str">
        <x:v>#5</x:v>
      </x:c>
      <x:c r="G9" s="16" t="str">
        <x:v>https://github.com/z3nz3nn/HW06-software-testing/issues/5</x:v>
      </x:c>
    </x:row>
    <x:row r="10">
      <x:c r="A10" s="16" t="str">
        <x:v>BUG-06</x:v>
      </x:c>
      <x:c r="B10" s="16" t="str">
        <x:v>Medium</x:v>
      </x:c>
      <x:c r="C10" s="16" t="str">
        <x:v>Coupon</x:v>
      </x:c>
      <x:c r="D10" s="16" t="str">
        <x:v>Exact minimum is rejected</x:v>
      </x:c>
      <x:c r="E10" s="16" t="str">
        <x:v>C-AI-18,21,22</x:v>
      </x:c>
      <x:c r="F10" s="16" t="str">
        <x:v>#6</x:v>
      </x:c>
      <x:c r="G10" s="16" t="str">
        <x:v>https://github.com/z3nz3nn/HW06-software-testing/issues/6</x:v>
      </x:c>
    </x:row>
    <x:row r="11">
      <x:c r="A11" s="16" t="str">
        <x:v>BUG-07</x:v>
      </x:c>
      <x:c r="B11" s="16" t="str">
        <x:v>Critical</x:v>
      </x:c>
      <x:c r="C11" s="16" t="str">
        <x:v>Import</x:v>
      </x:c>
      <x:c r="D11" s="16" t="str">
        <x:v>Normal user can call admin import</x:v>
      </x:c>
      <x:c r="E11" s="16" t="str">
        <x:v>I-AI-02,56</x:v>
      </x:c>
      <x:c r="F11" s="16" t="str">
        <x:v>#7</x:v>
      </x:c>
      <x:c r="G11" s="16" t="str">
        <x:v>https://github.com/z3nz3nn/HW06-software-testing/issues/7</x:v>
      </x:c>
    </x:row>
    <x:row r="12">
      <x:c r="A12" s="16" t="str">
        <x:v>BUG-08</x:v>
      </x:c>
      <x:c r="B12" s="16" t="str">
        <x:v>High</x:v>
      </x:c>
      <x:c r="C12" s="16" t="str">
        <x:v>Import</x:v>
      </x:c>
      <x:c r="D12" s="16" t="str">
        <x:v>Price/category/name validation is incomplete</x:v>
      </x:c>
      <x:c r="E12" s="16" t="str">
        <x:v>I-AI-21..33</x:v>
      </x:c>
      <x:c r="F12" s="16" t="str">
        <x:v>#8</x:v>
      </x:c>
      <x:c r="G12" s="16" t="str">
        <x:v>https://github.com/z3nz3nn/HW06-software-testing/issues/8</x:v>
      </x:c>
    </x:row>
    <x:row r="13">
      <x:c r="A13" s="16" t="str">
        <x:v>BUG-09</x:v>
      </x:c>
      <x:c r="B13" s="16" t="str">
        <x:v>High</x:v>
      </x:c>
      <x:c r="C13" s="16" t="str">
        <x:v>Import</x:v>
      </x:c>
      <x:c r="D13" s="16" t="str">
        <x:v>Invalid mixed batch partially commits</x:v>
      </x:c>
      <x:c r="E13" s="16" t="str">
        <x:v>I-AI-40..42,51</x:v>
      </x:c>
      <x:c r="F13" s="16" t="str">
        <x:v>#9</x:v>
      </x:c>
      <x:c r="G13" s="16" t="str">
        <x:v>https://github.com/z3nz3nn/HW06-software-testing/issues/9</x:v>
      </x:c>
    </x:row>
    <x:row r="14">
      <x:c r="A14" s="16" t="str">
        <x:v>BUG-10</x:v>
      </x:c>
      <x:c r="B14" s="16" t="str">
        <x:v>Medium</x:v>
      </x:c>
      <x:c r="C14" s="16" t="str">
        <x:v>Error handling</x:v>
      </x:c>
      <x:c r="D14" s="16" t="str">
        <x:v>Malformed input exposes stack details</x:v>
      </x:c>
      <x:c r="E14" s="16" t="str">
        <x:v>R/C/I malformed rows</x:v>
      </x:c>
      <x:c r="F14" s="16" t="str">
        <x:v>#10</x:v>
      </x:c>
      <x:c r="G14" s="16" t="str">
        <x:v>https://github.com/z3nz3nn/HW06-software-testing/issues/10</x:v>
      </x:c>
    </x:row>
  </x:sheetData>
  <x:mergeCells>
    <x:mergeCell ref="A1:G2"/>
  </x:mergeCells>
  <x:conditionalFormatting sqref="B5:B14">
    <x:cfRule type="containsText" dxfId="19" priority="1" operator="containsText" text="Critical"/>
    <x:cfRule type="containsText" dxfId="20" priority="2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ab2b0d18c75f44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4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8" customHeight="1">
      <x:c r="A1" s="4" t="str">
        <x:v>Mandatory Human Review
Only the student may change a row to YES after completing it</x:v>
      </x:c>
      <x:c r="B1" s="4"/>
      <x:c r="C1" s="4"/>
      <x:c r="D1" s="4"/>
      <x:c r="E1" s="4"/>
    </x:row>
    <x:row r="2" ht="48" customHeight="1">
      <x:c r="A2" s="4"/>
      <x:c r="B2" s="4"/>
      <x:c r="C2" s="4"/>
      <x:c r="D2" s="4"/>
      <x:c r="E2" s="4"/>
    </x:row>
    <x:row r="4" ht="30" customHeight="1">
      <x:c r="A4" s="13" t="str">
        <x:v>Gate_ID</x:v>
      </x:c>
      <x:c r="B4" s="14" t="str">
        <x:v>Required action</x:v>
      </x:c>
      <x:c r="C4" s="14" t="str">
        <x:v>Impact</x:v>
      </x:c>
      <x:c r="D4" s="14" t="str">
        <x:v>Completed</x:v>
      </x:c>
      <x:c r="E4" s="15" t="str">
        <x:v>Owner</x:v>
      </x:c>
    </x:row>
    <x:row r="5">
      <x:c r="A5" s="16" t="str">
        <x:v>MR-01</x:v>
      </x:c>
      <x:c r="B5" s="16" t="str">
        <x:v>Confirm name and provide official student ID</x:v>
      </x:c>
      <x:c r="C5" s="16" t="str">
        <x:v>BLOCKING</x:v>
      </x:c>
      <x:c r="D5" s="16" t="str">
        <x:v>YES</x:v>
      </x:c>
      <x:c r="E5" s="16" t="str">
        <x:v>Student</x:v>
      </x:c>
    </x:row>
    <x:row r="6">
      <x:c r="A6" s="16" t="str">
        <x:v>MR-02</x:v>
      </x:c>
      <x:c r="B6" s="16" t="str">
        <x:v>Personally review every test row</x:v>
      </x:c>
      <x:c r="C6" s="16" t="str">
        <x:v>BLOCKING</x:v>
      </x:c>
      <x:c r="D6" s="16" t="str">
        <x:v>NO</x:v>
      </x:c>
      <x:c r="E6" s="16" t="str">
        <x:v>Student</x:v>
      </x:c>
    </x:row>
    <x:row r="7">
      <x:c r="A7" s="16" t="str">
        <x:v>MR-03</x:v>
      </x:c>
      <x:c r="B7" s="16" t="str">
        <x:v>Capture/recreate the real official Newman console header screenshot</x:v>
      </x:c>
      <x:c r="C7" s="16" t="str">
        <x:v>BLOCKING</x:v>
      </x:c>
      <x:c r="D7" s="16" t="str">
        <x:v>NO</x:v>
      </x:c>
      <x:c r="E7" s="16" t="str">
        <x:v>Student</x:v>
      </x:c>
    </x:row>
    <x:row r="8">
      <x:c r="A8" s="16" t="str">
        <x:v>MR-04</x:v>
      </x:c>
      <x:c r="B8" s="16" t="str">
        <x:v>Approve/publicize GitHub repository</x:v>
      </x:c>
      <x:c r="C8" s="16" t="str">
        <x:v>BLOCKING</x:v>
      </x:c>
      <x:c r="D8" s="16" t="str">
        <x:v>NO</x:v>
      </x:c>
      <x:c r="E8" s="16" t="str">
        <x:v>Student</x:v>
      </x:c>
    </x:row>
    <x:row r="9">
      <x:c r="A9" s="16" t="str">
        <x:v>MR-05</x:v>
      </x:c>
      <x:c r="B9" s="16" t="str">
        <x:v>Publish issues with real screenshot links</x:v>
      </x:c>
      <x:c r="C9" s="16" t="str">
        <x:v>BLOCKING</x:v>
      </x:c>
      <x:c r="D9" s="16" t="str">
        <x:v>YES</x:v>
      </x:c>
      <x:c r="E9" s="16" t="str">
        <x:v>Student</x:v>
      </x:c>
    </x:row>
    <x:row r="10">
      <x:c r="A10" s="16" t="str">
        <x:v>MR-06</x:v>
      </x:c>
      <x:c r="B10" s="16" t="str">
        <x:v>Verify both GitHub Actions demonstration runs</x:v>
      </x:c>
      <x:c r="C10" s="16" t="str">
        <x:v>BLOCKING</x:v>
      </x:c>
      <x:c r="D10" s="16" t="str">
        <x:v>YES</x:v>
      </x:c>
      <x:c r="E10" s="16" t="str">
        <x:v>Student</x:v>
      </x:c>
    </x:row>
    <x:row r="11">
      <x:c r="A11" s="16" t="str">
        <x:v>MR-07</x:v>
      </x:c>
      <x:c r="B11" s="16" t="str">
        <x:v>Draw and export the Agent Skill diagram personally</x:v>
      </x:c>
      <x:c r="C11" s="16" t="str">
        <x:v>BLOCKING</x:v>
      </x:c>
      <x:c r="D11" s="16" t="str">
        <x:v>NO</x:v>
      </x:c>
      <x:c r="E11" s="16" t="str">
        <x:v>Student</x:v>
      </x:c>
    </x:row>
    <x:row r="12">
      <x:c r="A12" s="16" t="str">
        <x:v>MR-08</x:v>
      </x:c>
      <x:c r="B12" s="16" t="str">
        <x:v>Record/upload video and add URL</x:v>
      </x:c>
      <x:c r="C12" s="16" t="str">
        <x:v>BLOCKING</x:v>
      </x:c>
      <x:c r="D12" s="16" t="str">
        <x:v>NO</x:v>
      </x:c>
      <x:c r="E12" s="16" t="str">
        <x:v>Student</x:v>
      </x:c>
    </x:row>
    <x:row r="13">
      <x:c r="A13" s="16" t="str">
        <x:v>MR-09</x:v>
      </x:c>
      <x:c r="B13" s="16" t="str">
        <x:v>Select self-assessed grade and filename</x:v>
      </x:c>
      <x:c r="C13" s="16" t="str">
        <x:v>BLOCKING</x:v>
      </x:c>
      <x:c r="D13" s="16" t="str">
        <x:v>NO</x:v>
      </x:c>
      <x:c r="E13" s="16" t="str">
        <x:v>Student</x:v>
      </x:c>
    </x:row>
    <x:row r="14">
      <x:c r="A14" s="16" t="str">
        <x:v>MR-10</x:v>
      </x:c>
      <x:c r="B14" s="16" t="str">
        <x:v>Inspect ZIP and submit on Moodle</x:v>
      </x:c>
      <x:c r="C14" s="16" t="str">
        <x:v>BLOCKING</x:v>
      </x:c>
      <x:c r="D14" s="16" t="str">
        <x:v>NO</x:v>
      </x:c>
      <x:c r="E14" s="16" t="str">
        <x:v>Student</x:v>
      </x:c>
    </x:row>
  </x:sheetData>
  <x:mergeCells>
    <x:mergeCell ref="A1:E2"/>
  </x:mergeCells>
  <x:conditionalFormatting sqref="D5:D14">
    <x:cfRule type="containsText" dxfId="21" priority="1" operator="containsText" text="NO"/>
    <x:cfRule type="containsText" dxfId="22" priority="2" operator="containsText" text="YES"/>
  </x:conditionalFormatting>
  <x:dataValidations count="1">
    <x:dataValidation type="list" sqref="D5:D1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eed5b7cfa24efe"/>
  </x:tableParts>
</x:worksheet>
</file>